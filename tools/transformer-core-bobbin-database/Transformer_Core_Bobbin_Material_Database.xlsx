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vmlDrawing1.vml" ContentType="application/vnd.openxmlformats-officedocument.vmlDrawing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README" sheetId="1" state="visible" r:id="rId3"/>
    <sheet name="01_Materials_Global" sheetId="2" state="visible" r:id="rId4"/>
    <sheet name="02_Materials_China" sheetId="3" state="visible" r:id="rId5"/>
    <sheet name="03_Material_XRef" sheetId="4" state="visible" r:id="rId6"/>
    <sheet name="04_Cores_All" sheetId="5" state="visible" r:id="rId7"/>
    <sheet name="05_Bobbins" sheetId="6" state="visible" r:id="rId8"/>
    <sheet name="06_Bobbin_Materials" sheetId="7" state="visible" r:id="rId9"/>
    <sheet name="07_Gapped_AL" sheetId="8" state="visible" r:id="rId10"/>
    <sheet name="08_AWG_Wire" sheetId="9" state="visible" r:id="rId11"/>
    <sheet name="09_Design_Calculator" sheetId="10" state="visible" r:id="rId12"/>
    <sheet name="10_Winding_Window" sheetId="11" state="visible" r:id="rId13"/>
    <sheet name="11_Sources" sheetId="12" state="visible" r:id="rId14"/>
  </sheets>
  <definedNames>
    <definedName function="false" hidden="true" localSheetId="1" name="_xlnm._FilterDatabase" vbProcedure="false">01_Materials_Global!$A$4:$Q$54</definedName>
    <definedName function="false" hidden="true" localSheetId="2" name="_xlnm._FilterDatabase" vbProcedure="false">02_Materials_China!$A$4:$Q$24</definedName>
    <definedName function="false" hidden="true" localSheetId="3" name="_xlnm._FilterDatabase" vbProcedure="false">03_Material_XRef!$A$4:$K$14</definedName>
    <definedName function="false" hidden="true" localSheetId="4" name="_xlnm._FilterDatabase" vbProcedure="false">04_Cores_All!$A$4:$Y$87</definedName>
    <definedName function="false" hidden="true" localSheetId="5" name="_xlnm._FilterDatabase" vbProcedure="false">05_Bobbins!$A$4:$J$42</definedName>
    <definedName function="false" hidden="true" localSheetId="6" name="_xlnm._FilterDatabase" vbProcedure="false">06_Bobbin_Materials!$A$18:$D$21</definedName>
    <definedName function="false" hidden="true" localSheetId="7" name="_xlnm._FilterDatabase" vbProcedure="false">07_Gapped_AL!$A$4:$H$43</definedName>
    <definedName function="false" hidden="true" localSheetId="8" name="_xlnm._FilterDatabase" vbProcedure="false">08_AWG_Wire!$A$4:$L$31</definedName>
    <definedName function="false" hidden="true" localSheetId="11" name="_xlnm._FilterDatabase" vbProcedure="false">11_Sources!$A$4:$F$47</definedName>
    <definedName function="false" hidden="false" name="AWGList" vbProcedure="false">08_AWG_Wire!$A$5:$A$31</definedName>
    <definedName function="false" hidden="false" name="CoreList" vbProcedure="false">04_Cores_All!$B$5:$B$87</definedName>
    <definedName function="false" hidden="false" name="MatList" vbProcedure="false">04_Cores_All!$M$3:$U$3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8" authorId="0">
      <text>
        <r>
          <rPr>
            <sz val="10"/>
            <rFont val="Arial"/>
            <family val="2"/>
          </rPr>
          <t xml:space="preserve">Enter the area product you want to design to (mm4).
Leave blank to use the calculated value in C18.</t>
        </r>
      </text>
    </comment>
  </commentList>
</comments>
</file>

<file path=xl/sharedStrings.xml><?xml version="1.0" encoding="utf-8"?>
<sst xmlns="http://schemas.openxmlformats.org/spreadsheetml/2006/main" count="2464" uniqueCount="1123">
  <si>
    <t xml:space="preserve">SMPS Transformer Design Database - Cores, Bobbins &amp; Ferrite Materials</t>
  </si>
  <si>
    <t xml:space="preserve">Built only from manufacturers' official datasheets and catalogues. Every data row carries a link to the exact document it came from.</t>
  </si>
  <si>
    <t xml:space="preserve">SCOPE</t>
  </si>
  <si>
    <t xml:space="preserve">Soft-ferrite (MnZn / NiZn) cores, coil formers and materials used in switch-mode power supply transformers and inductors.</t>
  </si>
  <si>
    <t xml:space="preserve">Powder cores, nanocrystalline/amorphous tape cores and 50/60 Hz silicon-steel laminations are NOT covered (agreed scope).</t>
  </si>
  <si>
    <t xml:space="preserve">SHEETS</t>
  </si>
  <si>
    <t xml:space="preserve">01_Materials_Global</t>
  </si>
  <si>
    <t xml:space="preserve">Ferrite grades from TDK (Japan PC/PE series), TDK Electronics/EPCOS (SIFERRIT N series), Ferroxcube, Magnetics Inc, Fair-Rite.</t>
  </si>
  <si>
    <t xml:space="preserve">02_Materials_China</t>
  </si>
  <si>
    <t xml:space="preserve">Ferrite grades from DMEGC (Hengdian), TDG Holding (Acme), New Conda. Full numeric data where the vendor publishes a datasheet.</t>
  </si>
  <si>
    <t xml:space="preserve">03_Material_XRef</t>
  </si>
  <si>
    <t xml:space="preserve">Approximate cross-reference between vendors, grouped by material class. Read the 'Basis' and 'Confidence' columns before using.</t>
  </si>
  <si>
    <t xml:space="preserve">04_Cores_All</t>
  </si>
  <si>
    <t xml:space="preserve">EVERY core geometry in one filterable table - ETD, E/EF, EE/EI/EER, EFD, PQ, RM/EP/ER, planar ELP/EILP and toroid. Filter the Family column to isolate a shape.</t>
  </si>
  <si>
    <t xml:space="preserve">05_Bobbins</t>
  </si>
  <si>
    <t xml:space="preserve">Coil formers matched to each core: pin count, winding window AN, mean length of turn lN, AR value, plastic type.</t>
  </si>
  <si>
    <t xml:space="preserve">06_Bobbin_Materials</t>
  </si>
  <si>
    <t xml:space="preserve">Plastics used for coil formers, with UL file numbers, plus clips/yokes.</t>
  </si>
  <si>
    <t xml:space="preserve">07_Gapped_AL</t>
  </si>
  <si>
    <t xml:space="preserve">Published AL / air-gap combinations - use these as the starting point for flyback and inductor designs.</t>
  </si>
  <si>
    <t xml:space="preserve">08_AWG_Wire</t>
  </si>
  <si>
    <t xml:space="preserve">AWG table: bare diameter, area, DC resistance at 20 and 100 C, grade 1 / grade 2 enamel build, and the matching Furukawa TEX-E triple-insulated size.</t>
  </si>
  <si>
    <t xml:space="preserve">09_Design_Calculator</t>
  </si>
  <si>
    <t xml:space="preserve">Live sizing calculator with a core drop-down. Yellow cells are inputs or overrides; green is the value actually used.</t>
  </si>
  <si>
    <t xml:space="preserve">10_Winding_Window</t>
  </si>
  <si>
    <t xml:space="preserve">Up to five windings (primary, three outputs, auxiliary): wire sizing from current density, skin-depth limit, AWG and strand choice, then the window-fill check against Aw.</t>
  </si>
  <si>
    <t xml:space="preserve">11_Sources</t>
  </si>
  <si>
    <t xml:space="preserve">Every source document used, with URL and what was taken from it.</t>
  </si>
  <si>
    <t xml:space="preserve">KEY SYMBOLS</t>
  </si>
  <si>
    <t xml:space="preserve">Ae</t>
  </si>
  <si>
    <t xml:space="preserve">Effective magnetic cross-section (mm2). Use this for flux density: B = L*I/(N*Ae) or B = V*t/(N*Ae).</t>
  </si>
  <si>
    <t xml:space="preserve">Amin</t>
  </si>
  <si>
    <t xml:space="preserve">Minimum cross-section (mm2). Saturation actually happens here - check Bpk against Amin, not Ae, on cores where they differ a lot.</t>
  </si>
  <si>
    <t xml:space="preserve">le</t>
  </si>
  <si>
    <t xml:space="preserve">Effective magnetic path length (mm).</t>
  </si>
  <si>
    <t xml:space="preserve">Ve</t>
  </si>
  <si>
    <t xml:space="preserve">Effective core volume (mm3). Core loss = Pv [kW/m3] x Ve [mm3] x 1e-6 = watts.</t>
  </si>
  <si>
    <t xml:space="preserve">Sigma l/A</t>
  </si>
  <si>
    <t xml:space="preserve">Magnetic form factor (mm-1) = le/Ae. AL = mu0*mu_e/(Sigma l/A).</t>
  </si>
  <si>
    <t xml:space="preserve">AN</t>
  </si>
  <si>
    <t xml:space="preserve">Winding cross-section of the coil former (mm2) - the usable window area Aw.</t>
  </si>
  <si>
    <t xml:space="preserve">lN</t>
  </si>
  <si>
    <t xml:space="preserve">Mean length of turn of the coil former (mm) - use for copper length and DC resistance.</t>
  </si>
  <si>
    <t xml:space="preserve">AR</t>
  </si>
  <si>
    <t xml:space="preserve">Resistance factor (uOhm/N2). DC resistance = AR x N2.</t>
  </si>
  <si>
    <t xml:space="preserve">AL</t>
  </si>
  <si>
    <t xml:space="preserve">Inductance factor (nH/N2). L = AL x N2.</t>
  </si>
  <si>
    <t xml:space="preserve">Ap</t>
  </si>
  <si>
    <t xml:space="preserve">Area product = Ae x AN (mm4). The primary core-size selector - see sheet 08.</t>
  </si>
  <si>
    <t xml:space="preserve">HOW TO USE AS A STARTING DESIGN</t>
  </si>
  <si>
    <t xml:space="preserve">1</t>
  </si>
  <si>
    <t xml:space="preserve">Enter your converter data on 08_Design_Calculator. It returns the target area product Ap - and you can override that target in cell D18 and carry on from your own number.</t>
  </si>
  <si>
    <t xml:space="preserve">2</t>
  </si>
  <si>
    <t xml:space="preserve">Pick a core from the drop-down in D21 of the calculator, or filter the Ap column on 04_Cores_All for the first core that exceeds the target. Prefer ETD/PQ for wound, planar ELP for PCB windings.</t>
  </si>
  <si>
    <t xml:space="preserve">3</t>
  </si>
  <si>
    <t xml:space="preserve">Choose the material on sheet 01/02 by switching frequency and expected core temperature, then select that grade in the material drop-down (D22) so AL is looked up for you.</t>
  </si>
  <si>
    <t xml:space="preserve">4</t>
  </si>
  <si>
    <t xml:space="preserve">Read the turns off section 3 and check the peak flux at Amin against 0.6 x Bs(100 C).</t>
  </si>
  <si>
    <t xml:space="preserve">5</t>
  </si>
  <si>
    <t xml:space="preserve">Go to 10_Winding_Window. Enter the turns and RMS current of each winding; pick an AWG at or below the skin-depth limit, set the strand count until the copper check passes, choose enamel or TIW - then read the window fill ratio and the verdict.</t>
  </si>
  <si>
    <t xml:space="preserve">IMPORTANT CAVEATS</t>
  </si>
  <si>
    <t xml:space="preserve">Test conditions differ</t>
  </si>
  <si>
    <t xml:space="preserve">Bs is quoted at 1200 A/m by TDK/EPCOS/Ferroxcube, at 15 Oe (~1194 A/m) by Magnetics, and at 5 Oe (~398 A/m) by Fair-Rite. Fair-Rite numbers are therefore NOT directly comparable.</t>
  </si>
  <si>
    <t xml:space="preserve">Pv test points differ</t>
  </si>
  <si>
    <t xml:space="preserve">TDK Japan quotes core loss at 25 C, TDK Europe/EPCOS at 100 C. Always read the 'Pv test condition' column before comparing two grades.</t>
  </si>
  <si>
    <t xml:space="preserve">Geometry is standardised</t>
  </si>
  <si>
    <t xml:space="preserve">ETD/E/EFD/PQ/RM/EP/planar shapes follow IEC 63093 / 62317, so Ae, le, Ve are essentially identical between TDK, Ferroxcube, DMEGC and TDG for the same size. AL values are NOT - they follow the material.</t>
  </si>
  <si>
    <t xml:space="preserve">Cross-reference is advisory</t>
  </si>
  <si>
    <t xml:space="preserve">Sheet 03 matches grades by published properties. It is not a manufacturer-endorsed equivalence. Always re-qualify a second source on your own hardware.</t>
  </si>
  <si>
    <t xml:space="preserve">Ferrite materials - global manufacturers</t>
  </si>
  <si>
    <t xml:space="preserve">TDK (Japan), TDK Electronics/EPCOS (Europe), Ferroxcube, Magnetics Inc, Fair-Rite. Source link on every row.</t>
  </si>
  <si>
    <t xml:space="preserve">Manufacturer</t>
  </si>
  <si>
    <t xml:space="preserve">Grade</t>
  </si>
  <si>
    <t xml:space="preserve">Class</t>
  </si>
  <si>
    <t xml:space="preserve">mu_i</t>
  </si>
  <si>
    <t xml:space="preserve">Bs @25C
(mT)</t>
  </si>
  <si>
    <t xml:space="preserve">Bs @100C
(mT)</t>
  </si>
  <si>
    <t xml:space="preserve">Br @25C
(mT)</t>
  </si>
  <si>
    <t xml:space="preserve">Hc @25C
(A/m)</t>
  </si>
  <si>
    <t xml:space="preserve">Hc @100C
(A/m)</t>
  </si>
  <si>
    <t xml:space="preserve">Tc
(C)</t>
  </si>
  <si>
    <t xml:space="preserve">rho
(Ohm.m)</t>
  </si>
  <si>
    <t xml:space="preserve">Density
(g/cm3)</t>
  </si>
  <si>
    <t xml:space="preserve">Pv
(kW/m3)</t>
  </si>
  <si>
    <t xml:space="preserve">Pv test condition</t>
  </si>
  <si>
    <t xml:space="preserve">Useful f range</t>
  </si>
  <si>
    <t xml:space="preserve">Typical application</t>
  </si>
  <si>
    <t xml:space="preserve">Source</t>
  </si>
  <si>
    <t xml:space="preserve">TDK (JP)</t>
  </si>
  <si>
    <t xml:space="preserve">PC40</t>
  </si>
  <si>
    <t xml:space="preserve">MnZn power</t>
  </si>
  <si>
    <t xml:space="preserve">&gt;200</t>
  </si>
  <si>
    <t xml:space="preserve">4.8-4.9</t>
  </si>
  <si>
    <t xml:space="preserve">100 kHz / 200 mT / 25 C</t>
  </si>
  <si>
    <t xml:space="preserve">&lt; 100 kHz</t>
  </si>
  <si>
    <t xml:space="preserve">General SMPS transformer, legacy workhorse</t>
  </si>
  <si>
    <t xml:space="preserve">datasheet</t>
  </si>
  <si>
    <t xml:space="preserve">PC44</t>
  </si>
  <si>
    <t xml:space="preserve">&gt;215</t>
  </si>
  <si>
    <t xml:space="preserve">&lt; 300 kHz</t>
  </si>
  <si>
    <t xml:space="preserve">Standard SMPS transformer 50-200 kHz</t>
  </si>
  <si>
    <t xml:space="preserve">PC47</t>
  </si>
  <si>
    <t xml:space="preserve">&gt;230</t>
  </si>
  <si>
    <t xml:space="preserve">Higher Bs / higher Tc successor to PC44</t>
  </si>
  <si>
    <t xml:space="preserve">PCL47</t>
  </si>
  <si>
    <t xml:space="preserve">Lower loss variant of PC47</t>
  </si>
  <si>
    <t xml:space="preserve">PC95</t>
  </si>
  <si>
    <t xml:space="preserve">MnZn power, flat-loss</t>
  </si>
  <si>
    <t xml:space="preserve">4.9</t>
  </si>
  <si>
    <t xml:space="preserve">Wide-temperature low-loss; industry reference grade</t>
  </si>
  <si>
    <t xml:space="preserve">PEL95</t>
  </si>
  <si>
    <t xml:space="preserve">MnZn power, high mu</t>
  </si>
  <si>
    <t xml:space="preserve">&gt;180</t>
  </si>
  <si>
    <t xml:space="preserve">Lowest loss of PE95 family, lower Tc</t>
  </si>
  <si>
    <t xml:space="preserve">PEM95</t>
  </si>
  <si>
    <t xml:space="preserve">&gt;210</t>
  </si>
  <si>
    <t xml:space="preserve">Mid member of PE95 family</t>
  </si>
  <si>
    <t xml:space="preserve">PEH95</t>
  </si>
  <si>
    <t xml:space="preserve">High-Bs member of PE95 family</t>
  </si>
  <si>
    <t xml:space="preserve">PC33</t>
  </si>
  <si>
    <t xml:space="preserve">MnZn high-Bs choke</t>
  </si>
  <si>
    <t xml:space="preserve">&gt;290</t>
  </si>
  <si>
    <t xml:space="preserve">500 kHz / 50 mT / 25 C</t>
  </si>
  <si>
    <t xml:space="preserve">Output chokes, very high Tc / Bs</t>
  </si>
  <si>
    <t xml:space="preserve">PC90</t>
  </si>
  <si>
    <t xml:space="preserve">&gt;250</t>
  </si>
  <si>
    <t xml:space="preserve">High Bs at 100 C; chokes and high-temp transformers</t>
  </si>
  <si>
    <t xml:space="preserve">PC91</t>
  </si>
  <si>
    <t xml:space="preserve">&gt;240</t>
  </si>
  <si>
    <t xml:space="preserve">High saturation choke material</t>
  </si>
  <si>
    <t xml:space="preserve">PC50</t>
  </si>
  <si>
    <t xml:space="preserve">MnZn high-frequency</t>
  </si>
  <si>
    <t xml:space="preserve">300 - 700 kHz</t>
  </si>
  <si>
    <t xml:space="preserve">HF converters, LLC secondary side</t>
  </si>
  <si>
    <t xml:space="preserve">PCT50</t>
  </si>
  <si>
    <t xml:space="preserve">Lower loss HF variant of PC50</t>
  </si>
  <si>
    <t xml:space="preserve">PC200</t>
  </si>
  <si>
    <t xml:space="preserve">MnZn very-high-frequency</t>
  </si>
  <si>
    <t xml:space="preserve">&gt;280</t>
  </si>
  <si>
    <t xml:space="preserve">700 kHz - 4 MHz</t>
  </si>
  <si>
    <t xml:space="preserve">MHz-class GaN/SiC converters</t>
  </si>
  <si>
    <t xml:space="preserve">HS45</t>
  </si>
  <si>
    <t xml:space="preserve">MnZn high-mu</t>
  </si>
  <si>
    <t xml:space="preserve">&gt;150</t>
  </si>
  <si>
    <t xml:space="preserve">&lt; 500 kHz</t>
  </si>
  <si>
    <t xml:space="preserve">Common-mode / high-mu SMPS</t>
  </si>
  <si>
    <t xml:space="preserve">HS72</t>
  </si>
  <si>
    <t xml:space="preserve">&gt;130</t>
  </si>
  <si>
    <t xml:space="preserve">Common-mode chokes</t>
  </si>
  <si>
    <t xml:space="preserve">HS10</t>
  </si>
  <si>
    <t xml:space="preserve">&gt;120</t>
  </si>
  <si>
    <t xml:space="preserve">Common-mode chokes / current transformers</t>
  </si>
  <si>
    <t xml:space="preserve">HF90</t>
  </si>
  <si>
    <t xml:space="preserve">MnZn EMI suppression</t>
  </si>
  <si>
    <t xml:space="preserve">&gt;165</t>
  </si>
  <si>
    <t xml:space="preserve">60 kHz - 1 MHz</t>
  </si>
  <si>
    <t xml:space="preserve">EMI suppression</t>
  </si>
  <si>
    <t xml:space="preserve">HF60</t>
  </si>
  <si>
    <t xml:space="preserve">&gt; 1 MHz</t>
  </si>
  <si>
    <t xml:space="preserve">TDK Electronics (EPCOS)</t>
  </si>
  <si>
    <t xml:space="preserve">N27</t>
  </si>
  <si>
    <t xml:space="preserve">&gt;220</t>
  </si>
  <si>
    <t xml:space="preserve">4.80</t>
  </si>
  <si>
    <t xml:space="preserve">100 kHz / 200 mT / 100 C</t>
  </si>
  <si>
    <t xml:space="preserve">25 - 150 kHz</t>
  </si>
  <si>
    <t xml:space="preserve">Low-cost high-power, mains-frequency-ish SMPS</t>
  </si>
  <si>
    <t xml:space="preserve">N87</t>
  </si>
  <si>
    <t xml:space="preserve">4.85</t>
  </si>
  <si>
    <t xml:space="preserve">25 - 500 kHz</t>
  </si>
  <si>
    <t xml:space="preserve">THE default European SMPS power grade</t>
  </si>
  <si>
    <t xml:space="preserve">N88</t>
  </si>
  <si>
    <t xml:space="preserve">MnZn power, 140 C optimised</t>
  </si>
  <si>
    <t xml:space="preserve">260</t>
  </si>
  <si>
    <t xml:space="preserve">Loss minimum near 130-140 C; hot designs</t>
  </si>
  <si>
    <t xml:space="preserve">N92</t>
  </si>
  <si>
    <t xml:space="preserve">Output chokes / PFC, highest Tc of N series</t>
  </si>
  <si>
    <t xml:space="preserve">N95</t>
  </si>
  <si>
    <t xml:space="preserve">4.90</t>
  </si>
  <si>
    <t xml:space="preserve">Flat loss vs temperature; EPCOS answer to PC95</t>
  </si>
  <si>
    <t xml:space="preserve">N97</t>
  </si>
  <si>
    <t xml:space="preserve">Lower loss / higher Bs upgrade of N87</t>
  </si>
  <si>
    <t xml:space="preserve">N49</t>
  </si>
  <si>
    <t xml:space="preserve">4.75</t>
  </si>
  <si>
    <t xml:space="preserve">500 kHz / 50 mT / 100 C</t>
  </si>
  <si>
    <t xml:space="preserve">300 - 1000 kHz</t>
  </si>
  <si>
    <t xml:space="preserve">HF converters, planar transformers</t>
  </si>
  <si>
    <t xml:space="preserve">Ferroxcube</t>
  </si>
  <si>
    <t xml:space="preserve">3C90</t>
  </si>
  <si>
    <t xml:space="preserve">&gt;=220</t>
  </si>
  <si>
    <t xml:space="preserve">&lt;= 200 kHz</t>
  </si>
  <si>
    <t xml:space="preserve">General purpose power transformer</t>
  </si>
  <si>
    <t xml:space="preserve">3C94</t>
  </si>
  <si>
    <t xml:space="preserve">&lt;= 300 kHz</t>
  </si>
  <si>
    <t xml:space="preserve">Low-frequency power material</t>
  </si>
  <si>
    <t xml:space="preserve">3C95</t>
  </si>
  <si>
    <t xml:space="preserve">&gt;=215</t>
  </si>
  <si>
    <t xml:space="preserve">25 - 100 C use</t>
  </si>
  <si>
    <t xml:space="preserve">Wide ambient swing: automotive, ballast, mobile</t>
  </si>
  <si>
    <t xml:space="preserve">3C96</t>
  </si>
  <si>
    <t xml:space="preserve">&gt;=240</t>
  </si>
  <si>
    <t xml:space="preserve">&lt;= 400 kHz</t>
  </si>
  <si>
    <t xml:space="preserve">High efficiency, high power density</t>
  </si>
  <si>
    <t xml:space="preserve">3C97</t>
  </si>
  <si>
    <t xml:space="preserve">MnZn power, high-temp</t>
  </si>
  <si>
    <t xml:space="preserve">100 kHz / 200 mT / 120 C (380 @ 140 C)</t>
  </si>
  <si>
    <t xml:space="preserve">60 - 140 C use</t>
  </si>
  <si>
    <t xml:space="preserve">Solar inverter, EV charger, harsh ambient</t>
  </si>
  <si>
    <t xml:space="preserve">3C98</t>
  </si>
  <si>
    <t xml:space="preserve">Best-in-class medium-frequency conversion</t>
  </si>
  <si>
    <t xml:space="preserve">3C92</t>
  </si>
  <si>
    <t xml:space="preserve">MnZn high-Bs</t>
  </si>
  <si>
    <t xml:space="preserve">&gt;=270</t>
  </si>
  <si>
    <t xml:space="preserve">low frequency</t>
  </si>
  <si>
    <t xml:space="preserve">High Bs / high Tc</t>
  </si>
  <si>
    <t xml:space="preserve">3C92A</t>
  </si>
  <si>
    <t xml:space="preserve">Highest Bs in Ferroxcube power range</t>
  </si>
  <si>
    <t xml:space="preserve">3F3</t>
  </si>
  <si>
    <t xml:space="preserve">&gt;=200</t>
  </si>
  <si>
    <t xml:space="preserve">100 kHz / 100 mT / 100 C</t>
  </si>
  <si>
    <t xml:space="preserve">Classic HF power material</t>
  </si>
  <si>
    <t xml:space="preserve">3F36</t>
  </si>
  <si>
    <t xml:space="preserve">&gt;=230</t>
  </si>
  <si>
    <t xml:space="preserve">&lt;= 600 kHz</t>
  </si>
  <si>
    <t xml:space="preserve">Flat loss, medium-high frequency</t>
  </si>
  <si>
    <t xml:space="preserve">3F37</t>
  </si>
  <si>
    <t xml:space="preserve">&gt;=260</t>
  </si>
  <si>
    <t xml:space="preserve">~500 kHz</t>
  </si>
  <si>
    <t xml:space="preserve">High Tc HF material</t>
  </si>
  <si>
    <t xml:space="preserve">3F4</t>
  </si>
  <si>
    <t xml:space="preserve">&lt;= 2 MHz</t>
  </si>
  <si>
    <t xml:space="preserve">MHz converters, planar</t>
  </si>
  <si>
    <t xml:space="preserve">3F46</t>
  </si>
  <si>
    <t xml:space="preserve">&gt;=280</t>
  </si>
  <si>
    <t xml:space="preserve">1 - 3 MHz</t>
  </si>
  <si>
    <t xml:space="preserve">MHz-class, high Tc</t>
  </si>
  <si>
    <t xml:space="preserve">4F1</t>
  </si>
  <si>
    <t xml:space="preserve">NiZn RF</t>
  </si>
  <si>
    <t xml:space="preserve">&lt; 15 MHz</t>
  </si>
  <si>
    <t xml:space="preserve">RF / high-impedance, insulating NiZn</t>
  </si>
  <si>
    <t xml:space="preserve">Magnetics Inc (US)</t>
  </si>
  <si>
    <t xml:space="preserve">R</t>
  </si>
  <si>
    <t xml:space="preserve">see catalog p.6-15</t>
  </si>
  <si>
    <t xml:space="preserve">medium frequency</t>
  </si>
  <si>
    <t xml:space="preserve">Multi-purpose power transformer / inductor</t>
  </si>
  <si>
    <t xml:space="preserve">P</t>
  </si>
  <si>
    <t xml:space="preserve">low-medium frequency</t>
  </si>
  <si>
    <t xml:space="preserve">General purpose power converter</t>
  </si>
  <si>
    <t xml:space="preserve">F</t>
  </si>
  <si>
    <t xml:space="preserve">General purpose power transformer/filter</t>
  </si>
  <si>
    <t xml:space="preserve">T</t>
  </si>
  <si>
    <t xml:space="preserve">20 - 750 kHz</t>
  </si>
  <si>
    <t xml:space="preserve">Stable perm and loss over wide temperature</t>
  </si>
  <si>
    <t xml:space="preserve">L</t>
  </si>
  <si>
    <t xml:space="preserve">500 kHz - 3 MHz</t>
  </si>
  <si>
    <t xml:space="preserve">High-frequency high-temperature power</t>
  </si>
  <si>
    <t xml:space="preserve">J</t>
  </si>
  <si>
    <t xml:space="preserve">&gt;145</t>
  </si>
  <si>
    <t xml:space="preserve">EMI / broadband</t>
  </si>
  <si>
    <t xml:space="preserve">EMI-RFI filtering, wideband transformers</t>
  </si>
  <si>
    <t xml:space="preserve">W</t>
  </si>
  <si>
    <t xml:space="preserve">&gt;135</t>
  </si>
  <si>
    <t xml:space="preserve">EMI</t>
  </si>
  <si>
    <t xml:space="preserve">M</t>
  </si>
  <si>
    <t xml:space="preserve">MnZn highest-mu</t>
  </si>
  <si>
    <t xml:space="preserve">Common-mode chokes, highest permeability</t>
  </si>
  <si>
    <t xml:space="preserve">Fair-Rite (US)</t>
  </si>
  <si>
    <t xml:space="preserve">78</t>
  </si>
  <si>
    <t xml:space="preserve">loss factor 0.1e-6 @ 1 MHz</t>
  </si>
  <si>
    <t xml:space="preserve">&lt;= 200 kHz power / 500 kHz inductive</t>
  </si>
  <si>
    <t xml:space="preserve">Power and low-loss inductive</t>
  </si>
  <si>
    <t xml:space="preserve">95</t>
  </si>
  <si>
    <t xml:space="preserve">loss factor 2.5e-6/ui @ 0.1 MHz</t>
  </si>
  <si>
    <t xml:space="preserve">Low loss variation 25-100 C; pot/RM/PQ/EFD/EP</t>
  </si>
  <si>
    <t xml:space="preserve">Note: Fair-Rite quotes flux density at 5 Oe (~398 A/m); TDK/EPCOS/Ferroxcube at 1200 A/m; Magnetics at 15 Oe. Do not compare those columns directly.</t>
  </si>
  <si>
    <t xml:space="preserve">Note: TDK (Japan) Pv is tabulated at 25 C in the source catalogue; TDK Electronics/EPCOS and Ferroxcube at 100 C. Read the 'Pv test condition' column.</t>
  </si>
  <si>
    <t xml:space="preserve">Ferrite materials - Chinese manufacturers</t>
  </si>
  <si>
    <t xml:space="preserve">DMEGC (Hengdian Group), TDG Holding (Acme), New Conda. Numeric rows are transcribed from the vendor's own material-characteristics PDF.</t>
  </si>
  <si>
    <t xml:space="preserve">DMEGC / Hengdian (CN)</t>
  </si>
  <si>
    <t xml:space="preserve">DMR40</t>
  </si>
  <si>
    <t xml:space="preserve">100 kHz / 200 mT / 25 C; 410 @ 100 C</t>
  </si>
  <si>
    <t xml:space="preserve">Standard SMPS grade; PC40-class</t>
  </si>
  <si>
    <t xml:space="preserve">DMR44</t>
  </si>
  <si>
    <t xml:space="preserve">100 kHz / 200 mT / 25 C; 300 @ 100 C</t>
  </si>
  <si>
    <t xml:space="preserve">PC44-class general SMPS</t>
  </si>
  <si>
    <t xml:space="preserve">DMR95</t>
  </si>
  <si>
    <t xml:space="preserve">100 kHz / 200 mT / 25 C; 310 @ 100 C</t>
  </si>
  <si>
    <t xml:space="preserve">PC95-class, most widely second-sourced CN grade</t>
  </si>
  <si>
    <t xml:space="preserve">DMR95B</t>
  </si>
  <si>
    <t xml:space="preserve">MnZn power, flat-loss high-Bs</t>
  </si>
  <si>
    <t xml:space="preserve">Higher Bs and Tc than DMR95</t>
  </si>
  <si>
    <t xml:space="preserve">DMR96</t>
  </si>
  <si>
    <t xml:space="preserve">MnZn power, wide-temp</t>
  </si>
  <si>
    <t xml:space="preserve">&gt;4.8</t>
  </si>
  <si>
    <t xml:space="preserve">100 kHz / 200 mT / 25 C; 280 @ 100 C, 355 @ 140 C</t>
  </si>
  <si>
    <t xml:space="preserve">Very flat loss -20 to 140 C; also 260 @200k/125mT</t>
  </si>
  <si>
    <t xml:space="preserve">DMR51W</t>
  </si>
  <si>
    <t xml:space="preserve">1 MHz / 50 mT / 25 C</t>
  </si>
  <si>
    <t xml:space="preserve">1 - 5 MHz</t>
  </si>
  <si>
    <t xml:space="preserve">MHz converters; 40 mW/cm3 @ 3 MHz/10 mT</t>
  </si>
  <si>
    <t xml:space="preserve">DMR47</t>
  </si>
  <si>
    <t xml:space="preserve">see DMEGC datasheet</t>
  </si>
  <si>
    <t xml:space="preserve">PC47-class - datasheet on DMEGC site</t>
  </si>
  <si>
    <t xml:space="preserve">DMR91</t>
  </si>
  <si>
    <t xml:space="preserve">High flux density, low loss power grade</t>
  </si>
  <si>
    <t xml:space="preserve">DMR50 / DMR52W / DMR53</t>
  </si>
  <si>
    <t xml:space="preserve">0.5 - 5 MHz</t>
  </si>
  <si>
    <t xml:space="preserve">HF family - datasheets on DMEGC site</t>
  </si>
  <si>
    <t xml:space="preserve">DMR31 / DMR32</t>
  </si>
  <si>
    <t xml:space="preserve">High saturation choke family</t>
  </si>
  <si>
    <t xml:space="preserve">R5KZ / R7KC / R10KC / R10KZ / R12KZ / R15KZ</t>
  </si>
  <si>
    <t xml:space="preserve">Common-mode choke / high-permeability family</t>
  </si>
  <si>
    <t xml:space="preserve">DN30B / DN40B / DN50B / DN65H / DN80H / DN100H</t>
  </si>
  <si>
    <t xml:space="preserve">NiZn</t>
  </si>
  <si>
    <t xml:space="preserve">MHz</t>
  </si>
  <si>
    <t xml:space="preserve">NiZn family for RF and EMI</t>
  </si>
  <si>
    <t xml:space="preserve">TDG Holding / Acme (CN)</t>
  </si>
  <si>
    <t xml:space="preserve">TP4 / TP4A / TP4B / TP4C / TP4D / TP4E / TP4F / TP4S</t>
  </si>
  <si>
    <t xml:space="preserve">per-grade PDF on TDG site</t>
  </si>
  <si>
    <t xml:space="preserve">TP4A is the volume SMPS grade (PC40/3C90 class)</t>
  </si>
  <si>
    <t xml:space="preserve">TP5 / TP5E / TP5i</t>
  </si>
  <si>
    <t xml:space="preserve">MnZn power, low loss</t>
  </si>
  <si>
    <t xml:space="preserve">&lt;= 500 kHz</t>
  </si>
  <si>
    <t xml:space="preserve">Low-loss / flat-loss family (PC95/N95 class)</t>
  </si>
  <si>
    <t xml:space="preserve">TPW30 / TPW33</t>
  </si>
  <si>
    <t xml:space="preserve">MnZn wide-temperature</t>
  </si>
  <si>
    <t xml:space="preserve">Wide operating temperature power grades</t>
  </si>
  <si>
    <t xml:space="preserve">TPG30 / TPG33</t>
  </si>
  <si>
    <t xml:space="preserve">0.5 - 2 MHz</t>
  </si>
  <si>
    <t xml:space="preserve">High-frequency power grades</t>
  </si>
  <si>
    <t xml:space="preserve">TPB12 / TPB16 / TPB22</t>
  </si>
  <si>
    <t xml:space="preserve">High saturation grades for chokes</t>
  </si>
  <si>
    <t xml:space="preserve">TS5 / TS7 / TS10 / TSR5 / TSR7 / TSR10 / TSR13</t>
  </si>
  <si>
    <t xml:space="preserve">Common-mode / high permeability</t>
  </si>
  <si>
    <t xml:space="preserve">TN20B..TN200B (NiZn family)</t>
  </si>
  <si>
    <t xml:space="preserve">NiZn RF / EMI family</t>
  </si>
  <si>
    <t xml:space="preserve">Nanjing / Maanshan New Conda (CN)</t>
  </si>
  <si>
    <t xml:space="preserve">MnZn power + powder-core range</t>
  </si>
  <si>
    <t xml:space="preserve">see NCD product pages</t>
  </si>
  <si>
    <t xml:space="preserve">varies</t>
  </si>
  <si>
    <t xml:space="preserve">Also a major supplier of MPP / Sendust / High-Flux powder cores</t>
  </si>
  <si>
    <t xml:space="preserve">DMEGC publishes per-grade 'Material Characteristics' PDFs; rows without numbers are grades whose PDF is on the DMEGC/TDG site but was not transcribed here - open the linked page and read the grade you need.</t>
  </si>
  <si>
    <t xml:space="preserve">DMEGC Pv is published in mW/cm3, which is numerically identical to kW/m3 - no conversion needed when comparing with TDK/Ferroxcube.</t>
  </si>
  <si>
    <t xml:space="preserve">All DMEGC typical data are measured on a standard toroid 25 x 15 x 8 mm.</t>
  </si>
  <si>
    <t xml:space="preserve">Material cross-reference by class</t>
  </si>
  <si>
    <t xml:space="preserve">Grouped by application class and matched on published mu_i / Bs / Tc / Pv. ADVISORY ONLY - not a manufacturer-endorsed equivalence.</t>
  </si>
  <si>
    <t xml:space="preserve">Typical use</t>
  </si>
  <si>
    <t xml:space="preserve">TDK Electronics / EPCOS</t>
  </si>
  <si>
    <t xml:space="preserve">Magnetics Inc</t>
  </si>
  <si>
    <t xml:space="preserve">Fair-Rite</t>
  </si>
  <si>
    <t xml:space="preserve">DMEGC</t>
  </si>
  <si>
    <t xml:space="preserve">TDG / Acme</t>
  </si>
  <si>
    <t xml:space="preserve">Matching basis</t>
  </si>
  <si>
    <t xml:space="preserve">Confidence</t>
  </si>
  <si>
    <t xml:space="preserve">General purpose, low cost, &lt;100-150 kHz</t>
  </si>
  <si>
    <t xml:space="preserve">Legacy SMPS, mains transformers, low-cost adapters</t>
  </si>
  <si>
    <t xml:space="preserve">3C90 / 3C94</t>
  </si>
  <si>
    <t xml:space="preserve">R / P</t>
  </si>
  <si>
    <t xml:space="preserve">TP4 / TP4A</t>
  </si>
  <si>
    <t xml:space="preserve">mu_i 2000-2300, Bs25 470-510 mT, Tc 200-220 C</t>
  </si>
  <si>
    <t xml:space="preserve">High (both sides from datasheets, except TDG)</t>
  </si>
  <si>
    <t xml:space="preserve">Standard SMPS power, 50-200 kHz</t>
  </si>
  <si>
    <t xml:space="preserve">Flyback and forward transformers, the volume workhorse</t>
  </si>
  <si>
    <t xml:space="preserve">3C94 / 3C96</t>
  </si>
  <si>
    <t xml:space="preserve">P / F</t>
  </si>
  <si>
    <t xml:space="preserve">TP4A / TP4S</t>
  </si>
  <si>
    <t xml:space="preserve">mu_i 2200-2400, Bs25 ~490-510 mT, Pv 350-620 kW/m3 @100 kHz/200 mT</t>
  </si>
  <si>
    <t xml:space="preserve">High</t>
  </si>
  <si>
    <t xml:space="preserve">Upgraded power, higher Bs and Tc</t>
  </si>
  <si>
    <t xml:space="preserve">Same designs as above but hotter / higher flux</t>
  </si>
  <si>
    <t xml:space="preserve">PC47 / PCL47</t>
  </si>
  <si>
    <t xml:space="preserve">-</t>
  </si>
  <si>
    <t xml:space="preserve">TP4E</t>
  </si>
  <si>
    <t xml:space="preserve">mu_i 2300-2600, Bs25 510-530 mT, Tc &gt;=230 C, Pv 300-600</t>
  </si>
  <si>
    <t xml:space="preserve">High for TDK/EPCOS/FXC, Medium for DMEGC/TDG</t>
  </si>
  <si>
    <t xml:space="preserve">Flat-loss / wide-temperature, 3000-3300 mu_i</t>
  </si>
  <si>
    <t xml:space="preserve">Adapters, LED drivers, automotive, anything with a wide ambient swing</t>
  </si>
  <si>
    <t xml:space="preserve">PC95 / PEM95</t>
  </si>
  <si>
    <t xml:space="preserve">DMR95 / DMR95B</t>
  </si>
  <si>
    <t xml:space="preserve">TP5 / TPW33</t>
  </si>
  <si>
    <t xml:space="preserve">mu_i ~3000-3300, Bs25 ~525-540 mT, Pv ~350 @100 kHz/200 mT, loss minimum broadened</t>
  </si>
  <si>
    <t xml:space="preserve">High-temperature optimised (60-140 C)</t>
  </si>
  <si>
    <t xml:space="preserve">Solar inverters, EV chargers, sealed enclosures</t>
  </si>
  <si>
    <t xml:space="preserve">TPW30</t>
  </si>
  <si>
    <t xml:space="preserve">Loss minimum shifted to 100-140 C; Tc 230-260 C</t>
  </si>
  <si>
    <t xml:space="preserve">High for EPCOS/FXC/DMEGC</t>
  </si>
  <si>
    <t xml:space="preserve">High saturation, chokes and PFC</t>
  </si>
  <si>
    <t xml:space="preserve">Output chokes, PFC inductors, gapped high-DC-bias parts</t>
  </si>
  <si>
    <t xml:space="preserve">PC90 / PC91 / PC33</t>
  </si>
  <si>
    <t xml:space="preserve">3C92 / 3C92A</t>
  </si>
  <si>
    <t xml:space="preserve">DMR91 / DMR31</t>
  </si>
  <si>
    <t xml:space="preserve">Bs100 430-455 mT, Tc 240-290 C, lower mu_i (1400-2200)</t>
  </si>
  <si>
    <t xml:space="preserve">High for TDK/EPCOS/FXC, Medium for CN</t>
  </si>
  <si>
    <t xml:space="preserve">High frequency, 300 kHz - 1 MHz</t>
  </si>
  <si>
    <t xml:space="preserve">LLC, active-clamp flyback, GaN half-bridge</t>
  </si>
  <si>
    <t xml:space="preserve">PC50 / PCT50</t>
  </si>
  <si>
    <t xml:space="preserve">3F3 / 3F36 / 3F37</t>
  </si>
  <si>
    <t xml:space="preserve">DMR50 / DMR52W</t>
  </si>
  <si>
    <t xml:space="preserve">TPG30</t>
  </si>
  <si>
    <t xml:space="preserve">mu_i 900-1600, loss quoted at 500 kHz / 50 mT (80-150 kW/m3 @100 C)</t>
  </si>
  <si>
    <t xml:space="preserve">High for TDK/EPCOS/FXC</t>
  </si>
  <si>
    <t xml:space="preserve">Very high frequency, 1 - 5 MHz</t>
  </si>
  <si>
    <t xml:space="preserve">MHz-class GaN converters, small planar magnetics</t>
  </si>
  <si>
    <t xml:space="preserve">3F4 / 3F46</t>
  </si>
  <si>
    <t xml:space="preserve">67 (NiZn)</t>
  </si>
  <si>
    <t xml:space="preserve">TPG33</t>
  </si>
  <si>
    <t xml:space="preserve">mu_i 750-900, Tc 220-290 C, loss quoted at 1-3 MHz</t>
  </si>
  <si>
    <t xml:space="preserve">High for TDK/FXC/DMEGC</t>
  </si>
  <si>
    <t xml:space="preserve">High permeability, common-mode / EMI</t>
  </si>
  <si>
    <t xml:space="preserve">CM chokes, current transformers, EMI suppression</t>
  </si>
  <si>
    <t xml:space="preserve">HS10 / HS72 / HS45 / HF90</t>
  </si>
  <si>
    <t xml:space="preserve">N30 / T35 / T37 / T38</t>
  </si>
  <si>
    <t xml:space="preserve">3E-series</t>
  </si>
  <si>
    <t xml:space="preserve">J / W / M</t>
  </si>
  <si>
    <t xml:space="preserve">75 / 76 / 77</t>
  </si>
  <si>
    <t xml:space="preserve">R5KZ / R7KC / R10KC / R12KZ / R15KZ</t>
  </si>
  <si>
    <t xml:space="preserve">TS5 / TS7 / TS10 / TSR10</t>
  </si>
  <si>
    <t xml:space="preserve">mu_i 4000-15000, low Bs (400-470 mT), low Tc (120-165 C)</t>
  </si>
  <si>
    <t xml:space="preserve">Medium - class match only</t>
  </si>
  <si>
    <t xml:space="preserve">NiZn, RF and high impedance</t>
  </si>
  <si>
    <t xml:space="preserve">RF transformers, beads, high-resistivity applications</t>
  </si>
  <si>
    <t xml:space="preserve">K1 / E-series</t>
  </si>
  <si>
    <t xml:space="preserve">43 / 61 / 67</t>
  </si>
  <si>
    <t xml:space="preserve">DN30B..DN200L</t>
  </si>
  <si>
    <t xml:space="preserve">TN20B..TN200B</t>
  </si>
  <si>
    <t xml:space="preserve">rho 1e4-1e6 Ohm.m, mu_i 80-800</t>
  </si>
  <si>
    <t xml:space="preserve">How to read this: the grades in one row have similar published mu_i, Bs, Tc and core loss. They are NOT drop-in identical - loss-vs-temperature curves, AL tolerance and DC-bias behaviour still differ. Re-qualify any second source on your own transformer before release.</t>
  </si>
  <si>
    <t xml:space="preserve">'Confidence: High' = both grades' numbers were read from the manufacturer's own datasheet (see sheets 01 and 02). 'Medium' = one side is placed from the vendor's published grade list / positioning rather than a transcribed datasheet.</t>
  </si>
  <si>
    <t xml:space="preserve">All core geometries - one combined table</t>
  </si>
  <si>
    <t xml:space="preserve">Filter the Family column to isolate a shape, or filter the Ap column against the requirement from sheet 08. Every row links to the datasheet it was read from.</t>
  </si>
  <si>
    <t xml:space="preserve">lookup keys -&gt;</t>
  </si>
  <si>
    <t xml:space="preserve">Family</t>
  </si>
  <si>
    <t xml:space="preserve">Core</t>
  </si>
  <si>
    <t xml:space="preserve">Standard</t>
  </si>
  <si>
    <t xml:space="preserve">Ae
(mm2)</t>
  </si>
  <si>
    <t xml:space="preserve">Amin
(mm2)</t>
  </si>
  <si>
    <t xml:space="preserve">le
(mm)</t>
  </si>
  <si>
    <t xml:space="preserve">Ve
(mm3)</t>
  </si>
  <si>
    <t xml:space="preserve">Sigma l/A
(mm-1)</t>
  </si>
  <si>
    <t xml:space="preserve">Aw = AN
(mm2)</t>
  </si>
  <si>
    <t xml:space="preserve">Ap = Ae x Aw
(mm4)</t>
  </si>
  <si>
    <t xml:space="preserve">MLT lN
(mm)</t>
  </si>
  <si>
    <t xml:space="preserve">Mass
(g/set)</t>
  </si>
  <si>
    <t xml:space="preserve">AL N27
(nH)</t>
  </si>
  <si>
    <t xml:space="preserve">AL N87
(nH)</t>
  </si>
  <si>
    <t xml:space="preserve">AL N97
(nH)</t>
  </si>
  <si>
    <t xml:space="preserve">AL N95
(nH)</t>
  </si>
  <si>
    <t xml:space="preserve">AL N92
(nH)</t>
  </si>
  <si>
    <t xml:space="preserve">AL N88
(nH)</t>
  </si>
  <si>
    <t xml:space="preserve">AL N49
(nH)</t>
  </si>
  <si>
    <t xml:space="preserve">AL PC200
(nH)</t>
  </si>
  <si>
    <t xml:space="preserve">AL PC47
(nH)</t>
  </si>
  <si>
    <t xml:space="preserve">Other AL (nH)</t>
  </si>
  <si>
    <t xml:space="preserve">Coil former</t>
  </si>
  <si>
    <t xml:space="preserve">Pins</t>
  </si>
  <si>
    <t xml:space="preserve">ETD</t>
  </si>
  <si>
    <t xml:space="preserve">ETD 29/16/10</t>
  </si>
  <si>
    <t xml:space="preserve">IEC 63093-6</t>
  </si>
  <si>
    <t xml:space="preserve">B66359B / B66359W / B66359X</t>
  </si>
  <si>
    <t xml:space="preserve">13 (horiz) / 14 (vert)</t>
  </si>
  <si>
    <t xml:space="preserve">ETD 34/17/11</t>
  </si>
  <si>
    <t xml:space="preserve">B66362B / B66362W / B66362X</t>
  </si>
  <si>
    <t xml:space="preserve">14</t>
  </si>
  <si>
    <t xml:space="preserve">ETD 39/20/13</t>
  </si>
  <si>
    <t xml:space="preserve">B66364B / B66364W</t>
  </si>
  <si>
    <t xml:space="preserve">16</t>
  </si>
  <si>
    <t xml:space="preserve">ETD 44/22/15</t>
  </si>
  <si>
    <t xml:space="preserve">B66366B / B66366W</t>
  </si>
  <si>
    <t xml:space="preserve">18</t>
  </si>
  <si>
    <t xml:space="preserve">ETD 49/25/16</t>
  </si>
  <si>
    <t xml:space="preserve">B66368B / B66368W</t>
  </si>
  <si>
    <t xml:space="preserve">20</t>
  </si>
  <si>
    <t xml:space="preserve">ETD 54/28/19</t>
  </si>
  <si>
    <t xml:space="preserve">B66396W</t>
  </si>
  <si>
    <t xml:space="preserve">22</t>
  </si>
  <si>
    <t xml:space="preserve">ETD 59/31/22</t>
  </si>
  <si>
    <t xml:space="preserve">B66398W</t>
  </si>
  <si>
    <t xml:space="preserve">24</t>
  </si>
  <si>
    <t xml:space="preserve">E / EF</t>
  </si>
  <si>
    <t xml:space="preserve">E 13/7/4 (EF 12.6)</t>
  </si>
  <si>
    <t xml:space="preserve">IEC 63093-2</t>
  </si>
  <si>
    <t xml:space="preserve">N30=1000</t>
  </si>
  <si>
    <t xml:space="preserve">B66202B</t>
  </si>
  <si>
    <t xml:space="preserve">8 (horiz) / 6 (vert)</t>
  </si>
  <si>
    <t xml:space="preserve">E 16/8/5</t>
  </si>
  <si>
    <t xml:space="preserve">N30=1400</t>
  </si>
  <si>
    <t xml:space="preserve">B66308B / B66308W</t>
  </si>
  <si>
    <t xml:space="preserve">8</t>
  </si>
  <si>
    <t xml:space="preserve">E 20/10/6</t>
  </si>
  <si>
    <t xml:space="preserve">N30=2150</t>
  </si>
  <si>
    <t xml:space="preserve">B66206B / B66206W / B66206C</t>
  </si>
  <si>
    <t xml:space="preserve">10 / 12 / 14</t>
  </si>
  <si>
    <t xml:space="preserve">E 25/13/7 (EF 25)</t>
  </si>
  <si>
    <t xml:space="preserve">N30=2900</t>
  </si>
  <si>
    <t xml:space="preserve">B66208B / B66208X</t>
  </si>
  <si>
    <t xml:space="preserve">10</t>
  </si>
  <si>
    <t xml:space="preserve">E 30/15/7</t>
  </si>
  <si>
    <t xml:space="preserve">N30=3100</t>
  </si>
  <si>
    <t xml:space="preserve">B66232B / B66232J</t>
  </si>
  <si>
    <t xml:space="preserve">14 / 12</t>
  </si>
  <si>
    <t xml:space="preserve">E 32/16/9 (EF 32)</t>
  </si>
  <si>
    <t xml:space="preserve">N30=3800</t>
  </si>
  <si>
    <t xml:space="preserve">B66230A</t>
  </si>
  <si>
    <t xml:space="preserve">E 36/18/11</t>
  </si>
  <si>
    <t xml:space="preserve">B66390P</t>
  </si>
  <si>
    <t xml:space="preserve">E 42/21/20</t>
  </si>
  <si>
    <t xml:space="preserve">B66243B / B66243S</t>
  </si>
  <si>
    <t xml:space="preserve">18 / 12</t>
  </si>
  <si>
    <t xml:space="preserve">E 55/28/21</t>
  </si>
  <si>
    <t xml:space="preserve">B66252B</t>
  </si>
  <si>
    <t xml:space="preserve">E 65/32/27</t>
  </si>
  <si>
    <t xml:space="preserve">B66388B</t>
  </si>
  <si>
    <t xml:space="preserve">EFD</t>
  </si>
  <si>
    <t xml:space="preserve">EFD 20/10/7</t>
  </si>
  <si>
    <t xml:space="preserve">IEC 63093-3</t>
  </si>
  <si>
    <t xml:space="preserve">B66418W</t>
  </si>
  <si>
    <t xml:space="preserve">EFD 25/13/9</t>
  </si>
  <si>
    <t xml:space="preserve">B66422W</t>
  </si>
  <si>
    <t xml:space="preserve">EFD 30/15/9</t>
  </si>
  <si>
    <t xml:space="preserve">B66424W</t>
  </si>
  <si>
    <t xml:space="preserve">12</t>
  </si>
  <si>
    <t xml:space="preserve">PQ</t>
  </si>
  <si>
    <t xml:space="preserve">PQ 20/16</t>
  </si>
  <si>
    <t xml:space="preserve">IEC 63093-5</t>
  </si>
  <si>
    <t xml:space="preserve">B65876E</t>
  </si>
  <si>
    <t xml:space="preserve">PQ 20/20</t>
  </si>
  <si>
    <t xml:space="preserve">PQ 26/20</t>
  </si>
  <si>
    <t xml:space="preserve">B65878E</t>
  </si>
  <si>
    <t xml:space="preserve">PQ 26/25</t>
  </si>
  <si>
    <t xml:space="preserve">PQ 32/30</t>
  </si>
  <si>
    <t xml:space="preserve">B65880E</t>
  </si>
  <si>
    <t xml:space="preserve">PQ 35/35</t>
  </si>
  <si>
    <t xml:space="preserve">B65882B</t>
  </si>
  <si>
    <t xml:space="preserve">PQ 40/40</t>
  </si>
  <si>
    <t xml:space="preserve">B65884E</t>
  </si>
  <si>
    <t xml:space="preserve">PQ 50/50</t>
  </si>
  <si>
    <t xml:space="preserve">B65982E</t>
  </si>
  <si>
    <t xml:space="preserve">RM / EP / ER</t>
  </si>
  <si>
    <t xml:space="preserve">RM 6</t>
  </si>
  <si>
    <t xml:space="preserve">IEC 62317-4</t>
  </si>
  <si>
    <t xml:space="preserve">B65808N</t>
  </si>
  <si>
    <t xml:space="preserve">4 / 6 / 8</t>
  </si>
  <si>
    <t xml:space="preserve">RM 6 LP</t>
  </si>
  <si>
    <t xml:space="preserve">RM 8</t>
  </si>
  <si>
    <t xml:space="preserve">N30=5700; N41=4100; N48=2900</t>
  </si>
  <si>
    <t xml:space="preserve">B65812N</t>
  </si>
  <si>
    <t xml:space="preserve">5 / 8 / 12</t>
  </si>
  <si>
    <t xml:space="preserve">RM 8 LP</t>
  </si>
  <si>
    <t xml:space="preserve">RM 10</t>
  </si>
  <si>
    <t xml:space="preserve">N41=5500; N30=7600</t>
  </si>
  <si>
    <t xml:space="preserve">B65814N</t>
  </si>
  <si>
    <t xml:space="preserve">8 / 12</t>
  </si>
  <si>
    <t xml:space="preserve">RM 10 LP</t>
  </si>
  <si>
    <t xml:space="preserve">RM 14</t>
  </si>
  <si>
    <t xml:space="preserve">N41=6800</t>
  </si>
  <si>
    <t xml:space="preserve">B65888N / B65888C</t>
  </si>
  <si>
    <t xml:space="preserve">10 / 12</t>
  </si>
  <si>
    <t xml:space="preserve">RM 14 LP</t>
  </si>
  <si>
    <t xml:space="preserve">B65888N</t>
  </si>
  <si>
    <t xml:space="preserve">EP 13</t>
  </si>
  <si>
    <t xml:space="preserve">IEC 61860</t>
  </si>
  <si>
    <t xml:space="preserve">1000-7000 (see DS)</t>
  </si>
  <si>
    <t xml:space="preserve">see DS</t>
  </si>
  <si>
    <t xml:space="preserve">B65844W / B65844X</t>
  </si>
  <si>
    <t xml:space="preserve">ER 11/5 (planar)</t>
  </si>
  <si>
    <t xml:space="preserve">IEC 63093-4</t>
  </si>
  <si>
    <t xml:space="preserve">T38=6400</t>
  </si>
  <si>
    <t xml:space="preserve">B65526</t>
  </si>
  <si>
    <t xml:space="preserve">10 gullwing</t>
  </si>
  <si>
    <t xml:space="preserve">Planar</t>
  </si>
  <si>
    <t xml:space="preserve">EELP 22 (ELP 22/6/16 + ELP 22/6/16)</t>
  </si>
  <si>
    <t xml:space="preserve">~5000</t>
  </si>
  <si>
    <t xml:space="preserve">~6100</t>
  </si>
  <si>
    <t xml:space="preserve">~2100</t>
  </si>
  <si>
    <t xml:space="preserve">clamp B66286A / B65804P</t>
  </si>
  <si>
    <t xml:space="preserve">PCB windings</t>
  </si>
  <si>
    <t xml:space="preserve">EILP 22 (ELP 22/6/16 + I 22/2.5/16)</t>
  </si>
  <si>
    <t xml:space="preserve">EELP 32 (ELP 32/6/20 + ELP 32/6/20)</t>
  </si>
  <si>
    <t xml:space="preserve">clamp B65808J</t>
  </si>
  <si>
    <t xml:space="preserve">EILP 32 (ELP 32/6/20 + I 32/3/20)</t>
  </si>
  <si>
    <t xml:space="preserve">clamp B66288F</t>
  </si>
  <si>
    <t xml:space="preserve">EELP 38 (ELP 38/8/25 + ELP 38/8/25)</t>
  </si>
  <si>
    <t xml:space="preserve">clamp B66290A</t>
  </si>
  <si>
    <t xml:space="preserve">EILP 38 (ELP 38/8/25 + I 38/4/25)</t>
  </si>
  <si>
    <t xml:space="preserve">EELP 43 (ELP 43/10/28 + ELP 43/10/28)</t>
  </si>
  <si>
    <t xml:space="preserve">EILP 43 (ELP 43/10/28 + I 43/4/28)</t>
  </si>
  <si>
    <t xml:space="preserve">EELP 58 (ELP 58/11/38 + ELP 58/11/38)</t>
  </si>
  <si>
    <t xml:space="preserve">EILP 58 (ELP 58/11/38 + I 58/4/38)</t>
  </si>
  <si>
    <t xml:space="preserve">EELP 64 (ELP 64/10/50 + ELP 64/10/50)</t>
  </si>
  <si>
    <t xml:space="preserve">12500-14000</t>
  </si>
  <si>
    <t xml:space="preserve">8000-8900</t>
  </si>
  <si>
    <t xml:space="preserve">EILP 64 (ELP 64/10/50 + I 64/5/50)</t>
  </si>
  <si>
    <t xml:space="preserve">Toroid</t>
  </si>
  <si>
    <t xml:space="preserve">R 40.0 x 24.0 x 16.0 (B64290L0659)</t>
  </si>
  <si>
    <t xml:space="preserve">IEC 63093-7</t>
  </si>
  <si>
    <t xml:space="preserve">N30=4300; T65=5000; T35=5000; T37=6000</t>
  </si>
  <si>
    <t xml:space="preserve">epoxy coated, OD max 41.8 mm, H max 17.2 mm</t>
  </si>
  <si>
    <t xml:space="preserve">EI (TDK JP)</t>
  </si>
  <si>
    <t xml:space="preserve">EI 12.5</t>
  </si>
  <si>
    <t xml:space="preserve">TDK Japan catalogue</t>
  </si>
  <si>
    <t xml:space="preserve">see bobbin supplier</t>
  </si>
  <si>
    <t xml:space="preserve">EI 16</t>
  </si>
  <si>
    <t xml:space="preserve">EI 19</t>
  </si>
  <si>
    <t xml:space="preserve">EI 22</t>
  </si>
  <si>
    <t xml:space="preserve">EI 22/19/6</t>
  </si>
  <si>
    <t xml:space="preserve">EI 25</t>
  </si>
  <si>
    <t xml:space="preserve">EI 28</t>
  </si>
  <si>
    <t xml:space="preserve">EI 30</t>
  </si>
  <si>
    <t xml:space="preserve">EI 33/29/13</t>
  </si>
  <si>
    <t xml:space="preserve">EI 35</t>
  </si>
  <si>
    <t xml:space="preserve">EI 40</t>
  </si>
  <si>
    <t xml:space="preserve">EI 50</t>
  </si>
  <si>
    <t xml:space="preserve">EI 60</t>
  </si>
  <si>
    <t xml:space="preserve">EE (TDK JP)</t>
  </si>
  <si>
    <t xml:space="preserve">EE 10/11</t>
  </si>
  <si>
    <t xml:space="preserve">EE 13</t>
  </si>
  <si>
    <t xml:space="preserve">EE 16</t>
  </si>
  <si>
    <t xml:space="preserve">EE 19</t>
  </si>
  <si>
    <t xml:space="preserve">EE 22</t>
  </si>
  <si>
    <t xml:space="preserve">EE 25/19</t>
  </si>
  <si>
    <t xml:space="preserve">EE 30</t>
  </si>
  <si>
    <t xml:space="preserve">EE 35/28B</t>
  </si>
  <si>
    <t xml:space="preserve">EE 40</t>
  </si>
  <si>
    <t xml:space="preserve">EE 42/42/15</t>
  </si>
  <si>
    <t xml:space="preserve">EE 55/55/21</t>
  </si>
  <si>
    <t xml:space="preserve">EE 60</t>
  </si>
  <si>
    <t xml:space="preserve">EER (TDK JP)</t>
  </si>
  <si>
    <t xml:space="preserve">EER 25.5</t>
  </si>
  <si>
    <t xml:space="preserve">EER 28</t>
  </si>
  <si>
    <t xml:space="preserve">EER 28L</t>
  </si>
  <si>
    <t xml:space="preserve">EER 35</t>
  </si>
  <si>
    <t xml:space="preserve">EER 40</t>
  </si>
  <si>
    <t xml:space="preserve">EER 42</t>
  </si>
  <si>
    <t xml:space="preserve">EER 49</t>
  </si>
  <si>
    <t xml:space="preserve">Ap (column J) is a live formula = Ae x Aw. Aw is the coil former's usable winding window AN from the same datasheet, i.e. the real copper window - not the bare core window.</t>
  </si>
  <si>
    <t xml:space="preserve">Rows from the TDK Japan EE / EI / EER catalogue have no published bobbin window, so Aw and Ap are blank. Take AN from your bobbin supplier, or use the equivalent European size in the same table.</t>
  </si>
  <si>
    <t xml:space="preserve">Sigma l/A is printed on the datasheet where available and computed as le/Ae otherwise.</t>
  </si>
  <si>
    <t xml:space="preserve">Geometry (Ae, Amin, le, Ve) follows IEC 63093 / 62317 and is effectively identical between TDK, Ferroxcube, DMEGC, TDG and Cosmo for the same size. AL values are NOT - they follow the material.</t>
  </si>
  <si>
    <t xml:space="preserve">Rough family equivalences: EE 25/19 ~ E 25/13/7 | EE 30 ~ E 30/15/7 | EI 33/29/13 ~ E 32/16/9 | EER 28 ~ ETD 29 | EER 35 ~ ETD 34 | EER 40/42 ~ ETD 39. Check the drawings before assuming a bobbin fits.</t>
  </si>
  <si>
    <t xml:space="preserve">Row 3 holds plain material codes used by the lookup on sheet 08 - do not delete or reorder columns M:U.</t>
  </si>
  <si>
    <t xml:space="preserve">Coil formers (bobbins)</t>
  </si>
  <si>
    <t xml:space="preserve">Matched to each core on sheets 04-09, from the same TDK Electronics / EPCOS datasheet. AN is the usable winding window; lN is the mean length of turn.</t>
  </si>
  <si>
    <t xml:space="preserve">For core</t>
  </si>
  <si>
    <t xml:space="preserve">Coil former type</t>
  </si>
  <si>
    <t xml:space="preserve">AN (winding
window, mm2)</t>
  </si>
  <si>
    <t xml:space="preserve">lN (mean length
of turn, mm)</t>
  </si>
  <si>
    <t xml:space="preserve">AR
(uOhm/N2)</t>
  </si>
  <si>
    <t xml:space="preserve">Cu length per
100 turns (m)</t>
  </si>
  <si>
    <t xml:space="preserve">Plastic / temperature class</t>
  </si>
  <si>
    <t xml:space="preserve">Valox 420-SE0 (GFR PBT, UL94 V-0, class F 155 C) / Rynite FR530 (GFR PET, class H 180 C)</t>
  </si>
  <si>
    <t xml:space="preserve">GFR polyterephthalate, UL94 V-0 (Valox 420-SE0 / Pocan B4235 / GFR polyamide on large sizes)</t>
  </si>
  <si>
    <t xml:space="preserve">GFR thermosetting plastic, UL94 V-0, class F (155 C)</t>
  </si>
  <si>
    <t xml:space="preserve">GFR thermosetting plastic / PMC thermoset, UL94 V-0, class F (155 C)</t>
  </si>
  <si>
    <t xml:space="preserve">GFR thermosetting plastic, UL94 V-0, class F (155 C); LCP on some RM 6 variants</t>
  </si>
  <si>
    <t xml:space="preserve">DC resistance of a winding = AR x N^2 (result in micro-ohms). Copper length = lN x N.</t>
  </si>
  <si>
    <t xml:space="preserve">Practical window utilisation Ku: 0.4 for a single-winding inductor, 0.25-0.35 for a multi-winding transformer with margin tape, 0.2-0.25 for triple-insulated wire or heavy Litz.</t>
  </si>
  <si>
    <t xml:space="preserve">Horizontal / vertical / SMD variants of the same coil former share AN and lN; only the pin arrangement changes. Check the datasheet for creepage and the number of pins actually usable.</t>
  </si>
  <si>
    <t xml:space="preserve">Bobbin plastics and mechanical accessories</t>
  </si>
  <si>
    <t xml:space="preserve">Trade names and UL file numbers as listed by TDK Electronics for its coil formers, plus the clip/yoke families.</t>
  </si>
  <si>
    <t xml:space="preserve">Trade name</t>
  </si>
  <si>
    <t xml:space="preserve">Polymer type</t>
  </si>
  <si>
    <t xml:space="preserve">Supplier</t>
  </si>
  <si>
    <t xml:space="preserve">UL file number</t>
  </si>
  <si>
    <t xml:space="preserve">Typical UL 94 rating</t>
  </si>
  <si>
    <t xml:space="preserve">Typical insulation class</t>
  </si>
  <si>
    <t xml:space="preserve">Where it is used</t>
  </si>
  <si>
    <t xml:space="preserve">Sumikon PM 9630</t>
  </si>
  <si>
    <t xml:space="preserve">Thermosetting plastic (phenolic moulding compound)</t>
  </si>
  <si>
    <t xml:space="preserve">Sumitomo Bakelite</t>
  </si>
  <si>
    <t xml:space="preserve">E41429 (M)</t>
  </si>
  <si>
    <t xml:space="preserve">V-0</t>
  </si>
  <si>
    <t xml:space="preserve">F (155 C)</t>
  </si>
  <si>
    <t xml:space="preserve">PQ and RM coil formers, high dimensional stability</t>
  </si>
  <si>
    <t xml:space="preserve">Sumikon PM 9820</t>
  </si>
  <si>
    <t xml:space="preserve">PQ / large power coil formers</t>
  </si>
  <si>
    <t xml:space="preserve">Vyncolit X611</t>
  </si>
  <si>
    <t xml:space="preserve">Thermosetting plastic</t>
  </si>
  <si>
    <t xml:space="preserve">Vyncolit NV</t>
  </si>
  <si>
    <t xml:space="preserve">E167521 (M)</t>
  </si>
  <si>
    <t xml:space="preserve">Thermoset coil formers</t>
  </si>
  <si>
    <t xml:space="preserve">Valox 420-SE0</t>
  </si>
  <si>
    <t xml:space="preserve">GFR polybutylene terephthalate (PBT)</t>
  </si>
  <si>
    <t xml:space="preserve">SABIC</t>
  </si>
  <si>
    <t xml:space="preserve">E45329 / E207780 / E121562 (M)</t>
  </si>
  <si>
    <t xml:space="preserve">The standard E / ETD horizontal coil former material</t>
  </si>
  <si>
    <t xml:space="preserve">Rynite FR 530</t>
  </si>
  <si>
    <t xml:space="preserve">GFR polyethylene terephthalate (PET)</t>
  </si>
  <si>
    <t xml:space="preserve">DuPont</t>
  </si>
  <si>
    <t xml:space="preserve">see UL listing</t>
  </si>
  <si>
    <t xml:space="preserve">H (180 C)</t>
  </si>
  <si>
    <t xml:space="preserve">ETD / E coil formers for high-temperature designs</t>
  </si>
  <si>
    <t xml:space="preserve">Durethan BKV 30H</t>
  </si>
  <si>
    <t xml:space="preserve">GFR polyamide (PA6)</t>
  </si>
  <si>
    <t xml:space="preserve">Lanxess</t>
  </si>
  <si>
    <t xml:space="preserve">E245249 (M)</t>
  </si>
  <si>
    <t xml:space="preserve">Large E-core coil formers</t>
  </si>
  <si>
    <t xml:space="preserve">Ultramid A3X2G7</t>
  </si>
  <si>
    <t xml:space="preserve">GFR polyamide (PA66)</t>
  </si>
  <si>
    <t xml:space="preserve">BASF</t>
  </si>
  <si>
    <t xml:space="preserve">E41871 (M)</t>
  </si>
  <si>
    <t xml:space="preserve">Ryton R-4-230</t>
  </si>
  <si>
    <t xml:space="preserve">GFR polyphenylene sulphide (PPS)</t>
  </si>
  <si>
    <t xml:space="preserve">Solvay</t>
  </si>
  <si>
    <t xml:space="preserve">E95746 (M)</t>
  </si>
  <si>
    <t xml:space="preserve">H+ (&gt;180 C)</t>
  </si>
  <si>
    <t xml:space="preserve">High-temperature and reflow-capable coil formers</t>
  </si>
  <si>
    <t xml:space="preserve">Pocan B4235</t>
  </si>
  <si>
    <t xml:space="preserve">GFR PBT</t>
  </si>
  <si>
    <t xml:space="preserve">Vertical E-core coil formers</t>
  </si>
  <si>
    <t xml:space="preserve">LCP (liquid crystal polymer)</t>
  </si>
  <si>
    <t xml:space="preserve">GFR liquid crystal polymer</t>
  </si>
  <si>
    <t xml:space="preserve">various</t>
  </si>
  <si>
    <t xml:space="preserve">H+ (&gt;200 C)</t>
  </si>
  <si>
    <t xml:space="preserve">Small SMD coil formers (RM 6 SMD, EP, ER)</t>
  </si>
  <si>
    <t xml:space="preserve">Mechanical accessories</t>
  </si>
  <si>
    <t xml:space="preserve">Accessory</t>
  </si>
  <si>
    <t xml:space="preserve">Description</t>
  </si>
  <si>
    <t xml:space="preserve">Ordering-code family</t>
  </si>
  <si>
    <t xml:space="preserve">Yoke / clamp - ETD</t>
  </si>
  <si>
    <t xml:space="preserve">Stainless spring steel 0.3-0.4 mm, 2 pieces per set</t>
  </si>
  <si>
    <t xml:space="preserve">B66359S / B66362A / B66364A / B66368A / B66396A</t>
  </si>
  <si>
    <t xml:space="preserve">Clamp - EFD</t>
  </si>
  <si>
    <t xml:space="preserve">Stainless spring steel 0.3 mm, 2 pieces per set</t>
  </si>
  <si>
    <t xml:space="preserve">B66418B2000X000</t>
  </si>
  <si>
    <t xml:space="preserve">Clamp - planar ELP</t>
  </si>
  <si>
    <t xml:space="preserve">B66286A / B66288F / B66290A / B65804P / B65808J</t>
  </si>
  <si>
    <t xml:space="preserve">Published AL / air-gap combinations</t>
  </si>
  <si>
    <t xml:space="preserve">Starting points for gapped designs (flyback transformers, energy-storage inductors). Other gaps are available to order from every vendor.</t>
  </si>
  <si>
    <t xml:space="preserve">Material</t>
  </si>
  <si>
    <t xml:space="preserve">Air gap g
(mm)</t>
  </si>
  <si>
    <t xml:space="preserve">AL
(nH)</t>
  </si>
  <si>
    <t xml:space="preserve">mu_e</t>
  </si>
  <si>
    <t xml:space="preserve">Turns for
100 uH</t>
  </si>
  <si>
    <t xml:space="preserve">Ordering code</t>
  </si>
  <si>
    <t xml:space="preserve">B66358G0100X127</t>
  </si>
  <si>
    <t xml:space="preserve">B66358G0200X187</t>
  </si>
  <si>
    <t xml:space="preserve">B66358G0500X187</t>
  </si>
  <si>
    <t xml:space="preserve">B66358G1000X187</t>
  </si>
  <si>
    <t xml:space="preserve">B66361G0100X127</t>
  </si>
  <si>
    <t xml:space="preserve">B66361G0200X187</t>
  </si>
  <si>
    <t xml:space="preserve">B66361G0500X187</t>
  </si>
  <si>
    <t xml:space="preserve">B66361G1000X187</t>
  </si>
  <si>
    <t xml:space="preserve">B66361G2500X187</t>
  </si>
  <si>
    <t xml:space="preserve">B66363G0100X127</t>
  </si>
  <si>
    <t xml:space="preserve">B66363G0200X187</t>
  </si>
  <si>
    <t xml:space="preserve">B66363G0500X187</t>
  </si>
  <si>
    <t xml:space="preserve">B66363G1000X187</t>
  </si>
  <si>
    <t xml:space="preserve">B66363G2000X187</t>
  </si>
  <si>
    <t xml:space="preserve">B66365G0200X127</t>
  </si>
  <si>
    <t xml:space="preserve">B66365G0500X187</t>
  </si>
  <si>
    <t xml:space="preserve">B66365G1000X187</t>
  </si>
  <si>
    <t xml:space="preserve">B66365G1500X187</t>
  </si>
  <si>
    <t xml:space="preserve">B66365G2000X187</t>
  </si>
  <si>
    <t xml:space="preserve">B66367G0200X127</t>
  </si>
  <si>
    <t xml:space="preserve">B66367G0500X187</t>
  </si>
  <si>
    <t xml:space="preserve">B66367G1000X187</t>
  </si>
  <si>
    <t xml:space="preserve">B66367G1500X187</t>
  </si>
  <si>
    <t xml:space="preserve">B66367G2000X187</t>
  </si>
  <si>
    <t xml:space="preserve">N27/N87</t>
  </si>
  <si>
    <t xml:space="preserve">B66395G0200X1xx</t>
  </si>
  <si>
    <t xml:space="preserve">B66395G2000X1xx</t>
  </si>
  <si>
    <t xml:space="preserve">E 32/16/9</t>
  </si>
  <si>
    <t xml:space="preserve">B66229G0500X127</t>
  </si>
  <si>
    <t xml:space="preserve">B66229G1000X187</t>
  </si>
  <si>
    <t xml:space="preserve">B66389G0500X127</t>
  </si>
  <si>
    <t xml:space="preserve">B66389G1000X127</t>
  </si>
  <si>
    <t xml:space="preserve">B66417U0100K187</t>
  </si>
  <si>
    <t xml:space="preserve">B66417U0160K187</t>
  </si>
  <si>
    <t xml:space="preserve">B66417U0250K187</t>
  </si>
  <si>
    <t xml:space="preserve">B66417U0330K187</t>
  </si>
  <si>
    <t xml:space="preserve">B66423U0160K187</t>
  </si>
  <si>
    <t xml:space="preserve">B66423U0250K187</t>
  </si>
  <si>
    <t xml:space="preserve">B66423U0315K187</t>
  </si>
  <si>
    <t xml:space="preserve">ER 11/5</t>
  </si>
  <si>
    <t xml:space="preserve">B65525J0160A087</t>
  </si>
  <si>
    <t xml:space="preserve">B65525J0100A087</t>
  </si>
  <si>
    <t xml:space="preserve">L = AL x N^2 (AL in nH). Column F shows the turns needed for 100 uH as a quick feel for each option.</t>
  </si>
  <si>
    <t xml:space="preserve">Gapped-core AL tolerance is typically +/-3% to +/-5% for ground gaps, against +30/-20% for an ungapped set - that is why gapped cores are used wherever inductance matters.</t>
  </si>
  <si>
    <t xml:space="preserve">Rough gap estimate when a value is not tabulated: g ~ mu0 x N^2 x Ae / L  (SI units), then add 10-20% for fringing on a centre-leg gap.</t>
  </si>
  <si>
    <t xml:space="preserve">Magnet wire - AWG table, enamel build and triple-insulated equivalents</t>
  </si>
  <si>
    <t xml:space="preserve">Bare diameter, area and DC resistance are exact from the AWG definition. Enamel build is Elektrisola's published NEMA-metric data. TIW is Furukawa TEX-E.</t>
  </si>
  <si>
    <t xml:space="preserve">AWG</t>
  </si>
  <si>
    <t xml:space="preserve">Bare dia
(mm)</t>
  </si>
  <si>
    <t xml:space="preserve">Bare Cu area
(mm2)</t>
  </si>
  <si>
    <t xml:space="preserve">R at 20 C
(Ohm/m)</t>
  </si>
  <si>
    <t xml:space="preserve">R at 100 C
(Ohm/m)</t>
  </si>
  <si>
    <t xml:space="preserve">Grade 1 (single build)
max OD (mm)</t>
  </si>
  <si>
    <t xml:space="preserve">Grade 2 (heavy build)
max OD (mm)</t>
  </si>
  <si>
    <t xml:space="preserve">TEX-E conductor
size (mm)</t>
  </si>
  <si>
    <t xml:space="preserve">TEX-E (TIW)
max OD (mm)</t>
  </si>
  <si>
    <t xml:space="preserve">Turns per cm2 of window
(grade 2, 0.75 packing)</t>
  </si>
  <si>
    <t xml:space="preserve">Data basis</t>
  </si>
  <si>
    <t xml:space="preserve">Bare dia / area / R computed from the AWG definition. Enamel build NOT in the sourced datasheet - enter your supplier's OD in the override column.</t>
  </si>
  <si>
    <t xml:space="preserve">Bare dia / area / R: AWG definition. Build g1 &amp; g2: Elektrisola NEMA-metric datasheet.</t>
  </si>
  <si>
    <t xml:space="preserve">Bare diameter is exact by definition of the American Wire Gauge:  d(n) = 0.127 mm x 92^((36 - n)/39).  Area = pi/4 x d^2.</t>
  </si>
  <si>
    <t xml:space="preserve">DC resistance at 20 C is computed as rho / A with rho(Cu) = 1.7241e-8 Ohm.m (100 % IACS). The 100 C column applies the copper temperature coefficient 0.00393 /K:  R100 = R20 x (1 + 0.00393 x 80).</t>
  </si>
  <si>
    <t xml:space="preserve">Both were cross-checked against the MWS Wire NEMA nominal table: AWG 20 gives 0.0320 in and 10.13 Ohm per 1000 ft, which matches exactly.</t>
  </si>
  <si>
    <t xml:space="preserve">Grade 1 = single build, Grade 2 = heavy build. These are MAXIMUM overall diameters - use them for window fill, not the nominal.</t>
  </si>
  <si>
    <t xml:space="preserve">AWG 18 to 23 are not in the Elektrisola datasheet, so their build columns are blank. Enter your supplier's OD in the per-winding override on sheet 10.</t>
  </si>
  <si>
    <t xml:space="preserve">TEX-E is specified by conductor diameter, not by AWG. Each AWG is mapped to the SMALLEST TEX-E conductor size that is not smaller than the AWG bare diameter, so the copper area and the outer diameter both stay on the safe side. The actual TEX-E size is shown so the substitution is visible.</t>
  </si>
  <si>
    <t xml:space="preserve">TEX-E standard type starts at 0.20 mm conductor (about AWG 32), so AWG 34 and finer have no TIW entry. For those use TEX-ELZ (Litz TIW) and enter its OD manually.</t>
  </si>
  <si>
    <t xml:space="preserve">Reinforced-insulation designs using TIW need no margin tape; enamelled-wire designs normally need 2 x 2-3 mm margin tape, which is what the margin allowance on sheet 10 accounts for.</t>
  </si>
  <si>
    <t xml:space="preserve">Transformer sizing calculator</t>
  </si>
  <si>
    <t xml:space="preserve">Pick a core from the drop-down in D21 and the whole core block fills itself from sheet 04. YELLOW = you type here. GREY = calculated or looked up. GREEN = the value actually used - it takes your override if you typed one, otherwise the grey value.</t>
  </si>
  <si>
    <t xml:space="preserve">1   CONVERTER SPECIFICATION  -&gt;  REQUIRED AREA PRODUCT</t>
  </si>
  <si>
    <t xml:space="preserve">Calculated / from data</t>
  </si>
  <si>
    <t xml:space="preserve">Your entry or override</t>
  </si>
  <si>
    <t xml:space="preserve">VALUE USED</t>
  </si>
  <si>
    <t xml:space="preserve">Unit</t>
  </si>
  <si>
    <t xml:space="preserve">Notes</t>
  </si>
  <si>
    <t xml:space="preserve">Output power  Po</t>
  </si>
  <si>
    <t xml:space="preserve">Total delivered power, all outputs.</t>
  </si>
  <si>
    <t xml:space="preserve">Target efficiency  eta</t>
  </si>
  <si>
    <t xml:space="preserve">Whole-converter efficiency at full load.</t>
  </si>
  <si>
    <t xml:space="preserve">Switching frequency  f</t>
  </si>
  <si>
    <t xml:space="preserve">kHz</t>
  </si>
  <si>
    <t xml:space="preserve">Frequency seen by the transformer.</t>
  </si>
  <si>
    <t xml:space="preserve">Waveform factor  Kf</t>
  </si>
  <si>
    <t xml:space="preserve">4.0 for a square-wave drive (flyback, forward, bridge); 4.44 for a sinusoidal drive.</t>
  </si>
  <si>
    <t xml:space="preserve">Window utilisation  Ku</t>
  </si>
  <si>
    <t xml:space="preserve">0.40 single-winding inductor; 0.25-0.35 multi-winding transformer with margin tape; 0.20 with triple-insulated wire.</t>
  </si>
  <si>
    <t xml:space="preserve">Current density  J</t>
  </si>
  <si>
    <t xml:space="preserve">A/cm2</t>
  </si>
  <si>
    <t xml:space="preserve">350-450 A/cm2 with natural convection. Reduce it for sealed or high-ambient designs.</t>
  </si>
  <si>
    <t xml:space="preserve">Peak AC flux density  Bac</t>
  </si>
  <si>
    <t xml:space="preserve">HALF the total swing. 0.08-0.12 T is normal at 100 kHz. Total swing dB = 2 x Bac must stay below ~0.6 x Bs(100 C).</t>
  </si>
  <si>
    <t xml:space="preserve">Design margin factor</t>
  </si>
  <si>
    <t xml:space="preserve">x</t>
  </si>
  <si>
    <t xml:space="preserve">The bare area-product result is a thermal-free ideal and lands one to two sizes small in practice. 1.5-2.5 is the usual multiplier; use the upper end for sealed enclosures, reinforced insulation or flyback.</t>
  </si>
  <si>
    <t xml:space="preserve">Input power  Pin = Po / eta</t>
  </si>
  <si>
    <t xml:space="preserve">Apparent (throughput) power  Pt = Pin + Po</t>
  </si>
  <si>
    <t xml:space="preserve">VA</t>
  </si>
  <si>
    <t xml:space="preserve">McLyman's transformer apparent power.</t>
  </si>
  <si>
    <t xml:space="preserve">Area product, bare formula</t>
  </si>
  <si>
    <t xml:space="preserve">cm4</t>
  </si>
  <si>
    <t xml:space="preserve">Ap = Pt x 1e4 / (Kf x Ku x J x Bac x f).  Reference: Wm. T. McLyman, Transformer and Inductor Design Handbook.</t>
  </si>
  <si>
    <t xml:space="preserve">Area product x design margin</t>
  </si>
  <si>
    <t xml:space="preserve">TARGET AREA PRODUCT  Ap</t>
  </si>
  <si>
    <t xml:space="preserve">mm4</t>
  </si>
  <si>
    <t xml:space="preserve">&lt;&lt;&lt; THIS IS THE ONE TO OVERRIDE. Type your own Ap in D18 (yellow) and everything below - the core check, the margin and the summary - runs off your number instead of the calculated one. Leave D18 empty to use the calculation.</t>
  </si>
  <si>
    <t xml:space="preserve">2   CORE SELECTION   (pick from the drop-down - the rest fills itself from sheet 04)</t>
  </si>
  <si>
    <t xml:space="preserve">CORE  (drop-down)</t>
  </si>
  <si>
    <t xml:space="preserve">Every core on sheet 04_Cores_All is in this list. Click the cell, then the arrow on its right.</t>
  </si>
  <si>
    <t xml:space="preserve">MATERIAL for the AL lookup  (drop-down)</t>
  </si>
  <si>
    <t xml:space="preserve">AL is read from the matching column of sheet 04. If the chosen core is not offered in that material the AL comes back blank - type one into D30.</t>
  </si>
  <si>
    <t xml:space="preserve">Effective cross-section  Ae</t>
  </si>
  <si>
    <t xml:space="preserve">mm2</t>
  </si>
  <si>
    <t xml:space="preserve">Flux density is calculated on Ae.</t>
  </si>
  <si>
    <t xml:space="preserve">Minimum cross-section  Amin</t>
  </si>
  <si>
    <t xml:space="preserve">Saturation actually happens here.</t>
  </si>
  <si>
    <t xml:space="preserve">Winding window  Aw (= bobbin AN)</t>
  </si>
  <si>
    <t xml:space="preserve">Blank for planar, toroid and the TDK Japan EE/EI rows - type your own value in D26 for those.</t>
  </si>
  <si>
    <t xml:space="preserve">Magnetic path length  le</t>
  </si>
  <si>
    <t xml:space="preserve">mm</t>
  </si>
  <si>
    <t xml:space="preserve">Effective volume  Ve</t>
  </si>
  <si>
    <t xml:space="preserve">mm3</t>
  </si>
  <si>
    <t xml:space="preserve">Core loss is Pv x Ve.</t>
  </si>
  <si>
    <t xml:space="preserve">Mean length of turn  lN</t>
  </si>
  <si>
    <t xml:space="preserve">AL of core + material</t>
  </si>
  <si>
    <t xml:space="preserve">nH</t>
  </si>
  <si>
    <t xml:space="preserve">Ungapped AL. For a gapped design take an AL from sheet 07 and type it into D30.</t>
  </si>
  <si>
    <t xml:space="preserve">Matching coil former</t>
  </si>
  <si>
    <t xml:space="preserve">Actual area product  Ap = Ae x Aw</t>
  </si>
  <si>
    <t xml:space="preserve">Margin over target</t>
  </si>
  <si>
    <t xml:space="preserve">Aim for &gt;= 1.0. Comfortably above 2.0 usually means you can drop a size.</t>
  </si>
  <si>
    <t xml:space="preserve">Verdict</t>
  </si>
  <si>
    <t xml:space="preserve">3   TURNS AND FLUX</t>
  </si>
  <si>
    <t xml:space="preserve">Primary voltage applied  Vp</t>
  </si>
  <si>
    <t xml:space="preserve">V</t>
  </si>
  <si>
    <t xml:space="preserve">Voltage across the primary during the on-time (e.g. Vbulk at minimum line for a flyback).</t>
  </si>
  <si>
    <t xml:space="preserve">Duty cycle at that condition  D</t>
  </si>
  <si>
    <t xml:space="preserve">Worst case, i.e. minimum input voltage.</t>
  </si>
  <si>
    <t xml:space="preserve">Secondary voltage  Vs (incl. diode drop)</t>
  </si>
  <si>
    <t xml:space="preserve">Total flux swing  dB = 2 x Bac</t>
  </si>
  <si>
    <t xml:space="preserve">Minimum primary turns  Np(min)</t>
  </si>
  <si>
    <t xml:space="preserve">turns</t>
  </si>
  <si>
    <t xml:space="preserve">Np = Vp x D x 1e6 / (f[Hz] x dB[T] x Ae[mm2]).  Round UP.</t>
  </si>
  <si>
    <t xml:space="preserve">Primary turns actually used  Np</t>
  </si>
  <si>
    <t xml:space="preserve">Your rounded-up choice.</t>
  </si>
  <si>
    <t xml:space="preserve">Secondary turns  Ns</t>
  </si>
  <si>
    <t xml:space="preserve">Ideal ratio - round to an integer and re-check the duty cycle.</t>
  </si>
  <si>
    <t xml:space="preserve">Actual peak AC flux  Bac(actual)</t>
  </si>
  <si>
    <t xml:space="preserve">Same, checked at Amin (worst case)</t>
  </si>
  <si>
    <t xml:space="preserve">Peak flux must stay below ~0.30 T for a ferrite running at 100 C (Bs(100 C) is 0.39-0.45 T).</t>
  </si>
  <si>
    <t xml:space="preserve">Primary inductance  Lp = AL x Np^2</t>
  </si>
  <si>
    <t xml:space="preserve">mH</t>
  </si>
  <si>
    <t xml:space="preserve">Ungapped value. Gap the core (sheet 07) to hit a target Lp.</t>
  </si>
  <si>
    <t xml:space="preserve">4   CORE LOSS   (Steinmetz)</t>
  </si>
  <si>
    <t xml:space="preserve">Steinmetz  k</t>
  </si>
  <si>
    <t xml:space="preserve">Seeded from the four published N87 loss points at 100 C. Refit for any other material.</t>
  </si>
  <si>
    <t xml:space="preserve">Steinmetz  alpha  (frequency exponent)</t>
  </si>
  <si>
    <t xml:space="preserve">Pv = k x f[kHz]^alpha x B[mT]^beta, result in kW/m3.</t>
  </si>
  <si>
    <t xml:space="preserve">Steinmetz  beta  (flux exponent)</t>
  </si>
  <si>
    <t xml:space="preserve">Specific core loss  Pv</t>
  </si>
  <si>
    <t xml:space="preserve">kW/m3</t>
  </si>
  <si>
    <t xml:space="preserve">Cross-check against the Pv column on sheet 01 at the nearest published test point.</t>
  </si>
  <si>
    <t xml:space="preserve">CORE LOSS  Pcore = Pv x Ve</t>
  </si>
  <si>
    <t xml:space="preserve">5   COPPER</t>
  </si>
  <si>
    <t xml:space="preserve">Primary RMS current  Ip(rms)</t>
  </si>
  <si>
    <t xml:space="preserve">A</t>
  </si>
  <si>
    <t xml:space="preserve">Primary conductor area needed</t>
  </si>
  <si>
    <t xml:space="preserve">Irms / J.  Split into strands or Litz if the skin depth demands it.</t>
  </si>
  <si>
    <t xml:space="preserve">Skin depth in copper at f, 100 C</t>
  </si>
  <si>
    <t xml:space="preserve">delta = 75.3 / sqrt(f[Hz]) mm, copper at 100 C.</t>
  </si>
  <si>
    <t xml:space="preserve">Max useful round-wire diameter (2 x delta)</t>
  </si>
  <si>
    <t xml:space="preserve">Above this, add strands rather than a thicker wire.</t>
  </si>
  <si>
    <t xml:space="preserve">Copper length of the primary</t>
  </si>
  <si>
    <t xml:space="preserve">m</t>
  </si>
  <si>
    <t xml:space="preserve">lN x Np.</t>
  </si>
  <si>
    <t xml:space="preserve">6   SUMMARY</t>
  </si>
  <si>
    <t xml:space="preserve">Target Ap (calculated, or your override)</t>
  </si>
  <si>
    <t xml:space="preserve">Chosen core Ap</t>
  </si>
  <si>
    <t xml:space="preserve">Peak flux at Amin</t>
  </si>
  <si>
    <t xml:space="preserve">Core loss</t>
  </si>
  <si>
    <t xml:space="preserve">Core loss as % of output power</t>
  </si>
  <si>
    <t xml:space="preserve">A well-sized SMPS transformer sits around 0.5-1.5%.</t>
  </si>
  <si>
    <t xml:space="preserve">Assumptions baked into this sheet</t>
  </si>
  <si>
    <t xml:space="preserve">- Any grey cell can be overridden: type into the yellow cell on its right and the green VALUE USED column - and everything downstream - switches to your number.</t>
  </si>
  <si>
    <t xml:space="preserve">- Area-product method after Wm. T. McLyman, 'Transformer and Inductor Design Handbook': Ap[cm4] = Pt x 1e4 / (Kf x Ku x J x Bac x f).</t>
  </si>
  <si>
    <t xml:space="preserve">- Pt = Pin + Po. For a flyback with a large ripple ratio this under-estimates the VA - part of what the design-margin factor in D13 absorbs.</t>
  </si>
  <si>
    <t xml:space="preserve">- The bare area-product result assumes an unlimited thermal budget. The margin factor (default 2.0) is what turns it into the size a real design uses; it is an engineering judgement, not a published constant.</t>
  </si>
  <si>
    <t xml:space="preserve">- Bac is the PEAK ac flux density (half the total swing) throughout, which is how core-loss curves are published.</t>
  </si>
  <si>
    <t xml:space="preserve">- Steinmetz coefficients seeded here were fitted to the N87 datasheet points at 100 C (25 kHz/200 mT, 100 kHz/200 mT, 300 kHz/100 mT, 500 kHz/50 mT) and are valid only over 25-500 kHz. Every other material needs its own fit.</t>
  </si>
  <si>
    <t xml:space="preserve">- Skin depth uses delta = 75.3 / sqrt(f) mm for copper at 100 C.</t>
  </si>
  <si>
    <t xml:space="preserve">- This sheet sizes the core. It does NOT compute leakage inductance, winding AC resistance (Dowell), creepage and clearance, or temperature rise. Do those separately before release.</t>
  </si>
  <si>
    <t xml:space="preserve">Winding build and window-fill check</t>
  </si>
  <si>
    <t xml:space="preserve">Up to five windings: primary, three outputs and an auxiliary. Enter turns and RMS current; the sheet sizes the copper, caps the strand diameter at the skin depth, and then checks that the bobbin window Aw can actually hold it - including the insulation build you choose and the tape/margin allowances.</t>
  </si>
  <si>
    <t xml:space="preserve">1   PULLED FROM THE DESIGN CALCULATOR   (override any of them here without touching sheet 09)</t>
  </si>
  <si>
    <t xml:space="preserve">Calculated / linked</t>
  </si>
  <si>
    <t xml:space="preserve">Your override</t>
  </si>
  <si>
    <t xml:space="preserve">350-450 A/cm2 natural convection.</t>
  </si>
  <si>
    <t xml:space="preserve">Bobbin winding window  Aw</t>
  </si>
  <si>
    <t xml:space="preserve">The coil former's AN. This is the number the whole check is against.</t>
  </si>
  <si>
    <t xml:space="preserve">Used for the DC resistance of each winding.</t>
  </si>
  <si>
    <t xml:space="preserve">Primary turns from the calculator  Np</t>
  </si>
  <si>
    <t xml:space="preserve">Copy it into the primary row below, or enter your own there.</t>
  </si>
  <si>
    <t xml:space="preserve">Window utilisation Ku assumed during sizing</t>
  </si>
  <si>
    <t xml:space="preserve">Compared against the Ku this winding build actually achieves.</t>
  </si>
  <si>
    <t xml:space="preserve">delta = 75.3 / sqrt(f[Hz]) mm for copper at 100 C.</t>
  </si>
  <si>
    <t xml:space="preserve">Maximum strand diameter  (2 x delta)</t>
  </si>
  <si>
    <t xml:space="preserve">A round conductor thicker than twice the skin depth buys almost no extra AC conductance - split it into strands or Litz instead.</t>
  </si>
  <si>
    <t xml:space="preserve">Thinnest acceptable gauge  -&gt;  AWG</t>
  </si>
  <si>
    <t xml:space="preserve">Use THIS AWG NUMBER OR HIGHER (higher number = thinner wire). Derived by inverting the AWG definition at the 2 x delta diameter.</t>
  </si>
  <si>
    <t xml:space="preserve">2   WINDINGS   (yellow = you fill in; leave a row blank if you do not use it)</t>
  </si>
  <si>
    <t xml:space="preserve">Winding</t>
  </si>
  <si>
    <t xml:space="preserve">Turns
N</t>
  </si>
  <si>
    <t xml:space="preserve">I rms
(A)</t>
  </si>
  <si>
    <t xml:space="preserve">Cu area
needed
(mm2)</t>
  </si>
  <si>
    <t xml:space="preserve">Min
AWG</t>
  </si>
  <si>
    <t xml:space="preserve">AWG
chosen</t>
  </si>
  <si>
    <t xml:space="preserve">Strands</t>
  </si>
  <si>
    <t xml:space="preserve">Strand
dia (mm)</t>
  </si>
  <si>
    <t xml:space="preserve">Strand Cu
area (mm2)</t>
  </si>
  <si>
    <t xml:space="preserve">Cu area
provided
(mm2)</t>
  </si>
  <si>
    <t xml:space="preserve">Copper
check</t>
  </si>
  <si>
    <t xml:space="preserve">Skin
check</t>
  </si>
  <si>
    <t xml:space="preserve">Insulation type</t>
  </si>
  <si>
    <t xml:space="preserve">OD from
table (mm)</t>
  </si>
  <si>
    <t xml:space="preserve">OD
override</t>
  </si>
  <si>
    <t xml:space="preserve">OD used
(mm)</t>
  </si>
  <si>
    <t xml:space="preserve">Copper in
window (mm2)</t>
  </si>
  <si>
    <t xml:space="preserve">Gross wire in
window (mm2)</t>
  </si>
  <si>
    <t xml:space="preserve">Rdc @100 C
(Ohm)</t>
  </si>
  <si>
    <t xml:space="preserve">Cu loss
(W)</t>
  </si>
  <si>
    <t xml:space="preserve">Primary</t>
  </si>
  <si>
    <t xml:space="preserve">Grade 2 (heavy build)</t>
  </si>
  <si>
    <t xml:space="preserve">Secondary 1</t>
  </si>
  <si>
    <t xml:space="preserve">TIW (Furukawa TEX-E)</t>
  </si>
  <si>
    <t xml:space="preserve">Secondary 2</t>
  </si>
  <si>
    <t xml:space="preserve">Secondary 3</t>
  </si>
  <si>
    <t xml:space="preserve">Auxiliary</t>
  </si>
  <si>
    <t xml:space="preserve">TOTAL</t>
  </si>
  <si>
    <t xml:space="preserve">3   DOES IT FIT?   -   window check against Aw</t>
  </si>
  <si>
    <t xml:space="preserve">Margin tape allowance</t>
  </si>
  <si>
    <t xml:space="preserve">fraction of Aw</t>
  </si>
  <si>
    <t xml:space="preserve">Enamelled wire with 2 x 2-3 mm margin tape typically loses 10-15 % of the window. Set this to 0 when every winding is TIW, because reinforced insulation removes the need for margins.</t>
  </si>
  <si>
    <t xml:space="preserve">Interlayer / barrier tape allowance</t>
  </si>
  <si>
    <t xml:space="preserve">Interlayer tape, the outer wrap and the shield if you use one. 5-10 % is typical.</t>
  </si>
  <si>
    <t xml:space="preserve">Usable window</t>
  </si>
  <si>
    <t xml:space="preserve">Round-wire packing factor</t>
  </si>
  <si>
    <t xml:space="preserve">Fraction of the space a bundle of round wires actually fills. 0.78 is perfect square packing; 0.70-0.80 is realistic for machine layer winding, less for hand winding or heavy Litz.</t>
  </si>
  <si>
    <t xml:space="preserve">Gross insulated wire area to fit</t>
  </si>
  <si>
    <t xml:space="preserve">Sum of turns x strands x pi/4 x OD^2 over all windings.</t>
  </si>
  <si>
    <t xml:space="preserve">Window actually needed</t>
  </si>
  <si>
    <t xml:space="preserve">Window fill ratio</t>
  </si>
  <si>
    <t xml:space="preserve">Must be &lt;= 1.00.</t>
  </si>
  <si>
    <t xml:space="preserve">VERDICT</t>
  </si>
  <si>
    <t xml:space="preserve">Copper utilisation actually achieved  Ku</t>
  </si>
  <si>
    <t xml:space="preserve">Bare copper area divided by the whole window. This is the classic Ku.</t>
  </si>
  <si>
    <t xml:space="preserve">Ku assumed when the core was sized</t>
  </si>
  <si>
    <t xml:space="preserve">Ku comparison</t>
  </si>
  <si>
    <t xml:space="preserve">A low achieved Ku is not an error - it just means the window is bigger than this winding needs.</t>
  </si>
  <si>
    <t xml:space="preserve">4   LOSS SUMMARY</t>
  </si>
  <si>
    <t xml:space="preserve">Core loss (from sheet 09)</t>
  </si>
  <si>
    <t xml:space="preserve">Copper loss, DC only</t>
  </si>
  <si>
    <t xml:space="preserve">Sum of Irms^2 x Rdc at 100 C over all windings.</t>
  </si>
  <si>
    <t xml:space="preserve">Total loss</t>
  </si>
  <si>
    <t xml:space="preserve">Total loss as % of output power</t>
  </si>
  <si>
    <t xml:space="preserve">2-4 % is typical for the transformer alone in a 50-100 W SMPS.</t>
  </si>
  <si>
    <t xml:space="preserve">What this sheet does and does not do</t>
  </si>
  <si>
    <t xml:space="preserve">- Copper sizing: required area = Irms / J. The strand diameter is capped at twice the skin depth, which is the usual rule for keeping the AC resistance close to the DC value on a single-layer winding.</t>
  </si>
  <si>
    <t xml:space="preserve">- The gross wire area uses the MAXIMUM insulated outer diameter from sheet 08, not the nominal - that is the conservative number for a fill check.</t>
  </si>
  <si>
    <t xml:space="preserve">- The packing factor accounts for the air between round wires. The margin and tape allowances account for everything that is not wire. Together they turn Aw into the window a real build can use.</t>
  </si>
  <si>
    <t xml:space="preserve">- The copper loss column is DC ONLY. At 100 kHz with several layers the AC resistance can be 2-5 x the DC value - run a Dowell / Ferreira analysis before you trust the loss number, or interleave the windings.</t>
  </si>
  <si>
    <t xml:space="preserve">- Not covered here: leakage inductance, proximity effect, creepage and clearance to IEC 62368-1, temperature rise, or the safety spacing that decides whether you may use margin tape at all. TIW removes the margin-tape requirement but still needs the right voltage rating for your application.</t>
  </si>
  <si>
    <t xml:space="preserve">- Every gauge, build and TIW dimension comes from sheet 08_AWG_Wire, which carries its own sources.</t>
  </si>
  <si>
    <t xml:space="preserve">Sources</t>
  </si>
  <si>
    <t xml:space="preserve">Every document used to build this workbook. All are the manufacturer's own published catalogue or datasheet, except where the 'Host' column says otherwise.</t>
  </si>
  <si>
    <t xml:space="preserve">#</t>
  </si>
  <si>
    <t xml:space="preserve">Publisher</t>
  </si>
  <si>
    <t xml:space="preserve">Document</t>
  </si>
  <si>
    <t xml:space="preserve">What was taken from it</t>
  </si>
  <si>
    <t xml:space="preserve">Host</t>
  </si>
  <si>
    <t xml:space="preserve">URL</t>
  </si>
  <si>
    <t xml:space="preserve">TDK Corporation (Japan)</t>
  </si>
  <si>
    <t xml:space="preserve">Mn-Zn Ferrite Material Characteristics (catalogue)</t>
  </si>
  <si>
    <t xml:space="preserve">PC / PE / HS / HF grade table: mu_i, Bs at 25 and 100 C, Tc, Pcv with test points, density</t>
  </si>
  <si>
    <t xml:space="preserve">product.tdk.com (official)</t>
  </si>
  <si>
    <t xml:space="preserve">Ferrite Cores for Switching Power Supplies - E series (Nov 2023)</t>
  </si>
  <si>
    <t xml:space="preserve">EI / EE / EER geometry: Ae, le, Ve, mass, AL in PC47</t>
  </si>
  <si>
    <t xml:space="preserve">SIFERRIT material N27</t>
  </si>
  <si>
    <t xml:space="preserve">N27 material data</t>
  </si>
  <si>
    <t xml:space="preserve">tdk-electronics.tdk.com (official)</t>
  </si>
  <si>
    <t xml:space="preserve">SIFERRIT material N87</t>
  </si>
  <si>
    <t xml:space="preserve">N87 material data</t>
  </si>
  <si>
    <t xml:space="preserve">SIFERRIT material N88</t>
  </si>
  <si>
    <t xml:space="preserve">N88 material data</t>
  </si>
  <si>
    <t xml:space="preserve">SIFERRIT material N92</t>
  </si>
  <si>
    <t xml:space="preserve">N92 material data</t>
  </si>
  <si>
    <t xml:space="preserve">SIFERRIT material N95</t>
  </si>
  <si>
    <t xml:space="preserve">N95 material data</t>
  </si>
  <si>
    <t xml:space="preserve">SIFERRIT material N97</t>
  </si>
  <si>
    <t xml:space="preserve">N97 material data</t>
  </si>
  <si>
    <t xml:space="preserve">SIFERRIT material N49</t>
  </si>
  <si>
    <t xml:space="preserve">N49 material data</t>
  </si>
  <si>
    <t xml:space="preserve">ETD 29/16/10 ... ETD 59/31/22 core-and-accessories datasheets</t>
  </si>
  <si>
    <t xml:space="preserve">ETD geometry, AL per material, gapped AL, coil formers</t>
  </si>
  <si>
    <t xml:space="preserve">E 13/7/4 ... E 65/32/27 core-and-accessories datasheets</t>
  </si>
  <si>
    <t xml:space="preserve">E / EF geometry, AL per material, coil formers</t>
  </si>
  <si>
    <t xml:space="preserve">EFD 20/10/7, EFD 25/13/9, EFD 30/15/9 datasheets</t>
  </si>
  <si>
    <t xml:space="preserve">EFD geometry, AL, gapped AL, coil formers</t>
  </si>
  <si>
    <t xml:space="preserve">PQ 20/16 ... PQ 50/50 datasheets</t>
  </si>
  <si>
    <t xml:space="preserve">PQ geometry, AL per material, coil formers</t>
  </si>
  <si>
    <t xml:space="preserve">RM 6 / RM 8 / RM 10 / RM 14 (+ LP) datasheets</t>
  </si>
  <si>
    <t xml:space="preserve">RM geometry, AL, coil formers</t>
  </si>
  <si>
    <t xml:space="preserve">EP 13 datasheet</t>
  </si>
  <si>
    <t xml:space="preserve">EP geometry, AL, coil formers</t>
  </si>
  <si>
    <t xml:space="preserve">ER 11/5 planar datasheet</t>
  </si>
  <si>
    <t xml:space="preserve">ER geometry, AL, coil former</t>
  </si>
  <si>
    <t xml:space="preserve">ELP 22/6/16, 32/6/20, 38/8/25, 43/10/28, 58/11/38, 64/10/50 datasheets</t>
  </si>
  <si>
    <t xml:space="preserve">Planar EELP / EILP geometry, AL, clamps</t>
  </si>
  <si>
    <t xml:space="preserve">Toroid R 40.0 x 24.0 x 16.0 datasheet</t>
  </si>
  <si>
    <t xml:space="preserve">Toroid geometry and AL</t>
  </si>
  <si>
    <t xml:space="preserve">Ferrites and accessories - Materials for accessories</t>
  </si>
  <si>
    <t xml:space="preserve">Coil-former plastics, suppliers and UL file numbers</t>
  </si>
  <si>
    <t xml:space="preserve">Power conversion materials overview</t>
  </si>
  <si>
    <t xml:space="preserve">Material line-up, mu_i, Bsat, Tc, resistivity</t>
  </si>
  <si>
    <t xml:space="preserve">ferroxcube.com (official)</t>
  </si>
  <si>
    <t xml:space="preserve">3C95 / 3C97 product brochure</t>
  </si>
  <si>
    <t xml:space="preserve">Loss vs temperature for 3C95 and 3C97</t>
  </si>
  <si>
    <t xml:space="preserve">3C96 / 3C98 product brochure</t>
  </si>
  <si>
    <t xml:space="preserve">3C96 and 3C98 material data</t>
  </si>
  <si>
    <t xml:space="preserve">3C90 material specification</t>
  </si>
  <si>
    <t xml:space="preserve">3C90 full material data</t>
  </si>
  <si>
    <t xml:space="preserve">elnamagnetics.com (authorised distributor library)</t>
  </si>
  <si>
    <t xml:space="preserve">3C94 material specification</t>
  </si>
  <si>
    <t xml:space="preserve">3C94 full material data</t>
  </si>
  <si>
    <t xml:space="preserve">3C95 material specification</t>
  </si>
  <si>
    <t xml:space="preserve">3C95 full material data</t>
  </si>
  <si>
    <t xml:space="preserve">3C97 material specification</t>
  </si>
  <si>
    <t xml:space="preserve">3C97 full material data</t>
  </si>
  <si>
    <t xml:space="preserve">3F3 material specification</t>
  </si>
  <si>
    <t xml:space="preserve">3F3 full material data</t>
  </si>
  <si>
    <t xml:space="preserve">3F36 material specification</t>
  </si>
  <si>
    <t xml:space="preserve">3F36 full material data</t>
  </si>
  <si>
    <t xml:space="preserve">Magnetics Inc (Spang)</t>
  </si>
  <si>
    <t xml:space="preserve">Ferrite Cores catalogue 2022</t>
  </si>
  <si>
    <t xml:space="preserve">Material line-up F/P/R/T/L/J/W/M/C/E/V with mu_i, Bs, Tc, resistivity</t>
  </si>
  <si>
    <t xml:space="preserve">mag-inc.com (official)</t>
  </si>
  <si>
    <t xml:space="preserve">Fair-Rite Products</t>
  </si>
  <si>
    <t xml:space="preserve">95 material data sheet</t>
  </si>
  <si>
    <t xml:space="preserve">Fair-Rite 95 material data</t>
  </si>
  <si>
    <t xml:space="preserve">fair-rite.com (official)</t>
  </si>
  <si>
    <t xml:space="preserve">78 material data sheet</t>
  </si>
  <si>
    <t xml:space="preserve">Fair-Rite 78 material data</t>
  </si>
  <si>
    <t xml:space="preserve">DMEGC / Hengdian Group</t>
  </si>
  <si>
    <t xml:space="preserve">DMR40 Material Characteristics</t>
  </si>
  <si>
    <t xml:space="preserve">DMR40 full material data</t>
  </si>
  <si>
    <t xml:space="preserve">dmegc.de (official DMEGC Europe)</t>
  </si>
  <si>
    <t xml:space="preserve">DMR44 Material Characteristics</t>
  </si>
  <si>
    <t xml:space="preserve">DMR44 full material data</t>
  </si>
  <si>
    <t xml:space="preserve">DMR95 Material Characteristics</t>
  </si>
  <si>
    <t xml:space="preserve">DMR95 full material data</t>
  </si>
  <si>
    <t xml:space="preserve">DMR95B Material Characteristics</t>
  </si>
  <si>
    <t xml:space="preserve">DMR95B full material data</t>
  </si>
  <si>
    <t xml:space="preserve">DMR96 Material Characteristics</t>
  </si>
  <si>
    <t xml:space="preserve">DMR96 full material data incl. loss at -20 / 25 / 100 / 140 C</t>
  </si>
  <si>
    <t xml:space="preserve">DMR51W Material Characteristics</t>
  </si>
  <si>
    <t xml:space="preserve">DMR51W full material data (MHz grade)</t>
  </si>
  <si>
    <t xml:space="preserve">Soft magnetic materials and ferrite cores - product index</t>
  </si>
  <si>
    <t xml:space="preserve">Complete DMEGC grade list (MnZn power, high-mu, NiZn)</t>
  </si>
  <si>
    <t xml:space="preserve">TDG Holding (Acme)</t>
  </si>
  <si>
    <t xml:space="preserve">Technical support - data download</t>
  </si>
  <si>
    <t xml:space="preserve">Complete TDG MnZn and NiZn grade list; per-grade datasheets</t>
  </si>
  <si>
    <t xml:space="preserve">tdgcore.com (official)</t>
  </si>
  <si>
    <t xml:space="preserve">Nanjing / Maanshan New Conda</t>
  </si>
  <si>
    <t xml:space="preserve">MnZn ferrite cores product pages</t>
  </si>
  <si>
    <t xml:space="preserve">Grade families and available shapes</t>
  </si>
  <si>
    <t xml:space="preserve">ncd.com.cn (official)</t>
  </si>
  <si>
    <t xml:space="preserve">Elektrisola</t>
  </si>
  <si>
    <t xml:space="preserve">Technical data for enamelled copper wire, NEMA-metric datasheet</t>
  </si>
  <si>
    <t xml:space="preserve">AWG 24-44 grade 1 (single build) and grade 2 (heavy build) maximum overall diameters</t>
  </si>
  <si>
    <t xml:space="preserve">elektrisola.com (official)</t>
  </si>
  <si>
    <t xml:space="preserve">MWS Wire Industries</t>
  </si>
  <si>
    <t xml:space="preserve">Copper magnet wire data (NEMA MW 1000 nominal table)</t>
  </si>
  <si>
    <t xml:space="preserve">Cross-check of AWG bare diameters and DC resistance per 1000 ft</t>
  </si>
  <si>
    <t xml:space="preserve">mwswire.com (official)</t>
  </si>
  <si>
    <t xml:space="preserve">Furukawa Electric</t>
  </si>
  <si>
    <t xml:space="preserve">TEX-E triple insulated wire - standard type, dimension table</t>
  </si>
  <si>
    <t xml:space="preserve">Conductor size vs maximum finished outer diameter for every TEX-E size 0.20-1.00 mm</t>
  </si>
  <si>
    <t xml:space="preserve">furukawaelectric.com (official)</t>
  </si>
  <si>
    <t xml:space="preserve">Standards referenced for the geometries: IEC 63093 series (ferrite core dimensions - part 2 E cores, part 3 EFD, part 4 ER/planar, part 5 PQ, part 6 ETD, part 7 toroids), IEC 62317-4 (RM cores), IEC 61860 (EP cores), IEC 60205 (calculation of effective parameters).</t>
  </si>
  <si>
    <t xml:space="preserve">Design method on sheet 09: Wm. T. McLyman, 'Transformer and Inductor Design Handbook', area-product method.</t>
  </si>
  <si>
    <t xml:space="preserve">Wire: AWG bare diameters follow the gauge definition d(n) = 0.127 mm x 92^((36-n)/39); DC resistance uses rho(Cu, 20 C) = 1.7241e-8 Ohm.m (100 % IACS) and the temperature coefficient 0.00393 /K.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</si>
</sst>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"/>
    <numFmt numFmtId="166" formatCode="0.000"/>
    <numFmt numFmtId="167" formatCode="0.00"/>
    <numFmt numFmtId="168" formatCode="0.000000"/>
    <numFmt numFmtId="169" formatCode="0.00000"/>
    <numFmt numFmtId="170" formatCode="0.0"/>
    <numFmt numFmtId="171" formatCode="0"/>
    <numFmt numFmtId="172" formatCode="0.0000"/>
    <numFmt numFmtId="173" formatCode="0.00E+00"/>
    <numFmt numFmtId="174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i val="true"/>
      <sz val="8"/>
      <color rgb="FFA6A6A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EDEDED"/>
      </patternFill>
    </fill>
    <fill>
      <patternFill patternType="solid">
        <fgColor rgb="FFEDEDED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0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product.tdk.com/en/system/files/dam/doc/product/ferrite/ferrite/ferrite-core/catalog/ferrite_material_characteristics_en.pdf" TargetMode="External"/><Relationship Id="rId2" Type="http://schemas.openxmlformats.org/officeDocument/2006/relationships/hyperlink" Target="https://product.tdk.com/en/system/files/dam/doc/product/ferrite/ferrite/ferrite-core/catalog/ferrite_material_characteristics_en.pdf" TargetMode="External"/><Relationship Id="rId3" Type="http://schemas.openxmlformats.org/officeDocument/2006/relationships/hyperlink" Target="https://product.tdk.com/en/system/files/dam/doc/product/ferrite/ferrite/ferrite-core/catalog/ferrite_material_characteristics_en.pdf" TargetMode="External"/><Relationship Id="rId4" Type="http://schemas.openxmlformats.org/officeDocument/2006/relationships/hyperlink" Target="https://product.tdk.com/en/system/files/dam/doc/product/ferrite/ferrite/ferrite-core/catalog/ferrite_material_characteristics_en.pdf" TargetMode="External"/><Relationship Id="rId5" Type="http://schemas.openxmlformats.org/officeDocument/2006/relationships/hyperlink" Target="https://product.tdk.com/en/system/files/dam/doc/product/ferrite/ferrite/ferrite-core/catalog/ferrite_material_characteristics_en.pdf" TargetMode="External"/><Relationship Id="rId6" Type="http://schemas.openxmlformats.org/officeDocument/2006/relationships/hyperlink" Target="https://product.tdk.com/en/system/files/dam/doc/product/ferrite/ferrite/ferrite-core/catalog/ferrite_material_characteristics_en.pdf" TargetMode="External"/><Relationship Id="rId7" Type="http://schemas.openxmlformats.org/officeDocument/2006/relationships/hyperlink" Target="https://product.tdk.com/en/system/files/dam/doc/product/ferrite/ferrite/ferrite-core/catalog/ferrite_material_characteristics_en.pdf" TargetMode="External"/><Relationship Id="rId8" Type="http://schemas.openxmlformats.org/officeDocument/2006/relationships/hyperlink" Target="https://product.tdk.com/en/system/files/dam/doc/product/ferrite/ferrite/ferrite-core/catalog/ferrite_material_characteristics_en.pdf" TargetMode="External"/><Relationship Id="rId9" Type="http://schemas.openxmlformats.org/officeDocument/2006/relationships/hyperlink" Target="https://product.tdk.com/en/system/files/dam/doc/product/ferrite/ferrite/ferrite-core/catalog/ferrite_material_characteristics_en.pdf" TargetMode="External"/><Relationship Id="rId10" Type="http://schemas.openxmlformats.org/officeDocument/2006/relationships/hyperlink" Target="https://product.tdk.com/en/system/files/dam/doc/product/ferrite/ferrite/ferrite-core/catalog/ferrite_material_characteristics_en.pdf" TargetMode="External"/><Relationship Id="rId11" Type="http://schemas.openxmlformats.org/officeDocument/2006/relationships/hyperlink" Target="https://product.tdk.com/en/system/files/dam/doc/product/ferrite/ferrite/ferrite-core/catalog/ferrite_material_characteristics_en.pdf" TargetMode="External"/><Relationship Id="rId12" Type="http://schemas.openxmlformats.org/officeDocument/2006/relationships/hyperlink" Target="https://product.tdk.com/en/system/files/dam/doc/product/ferrite/ferrite/ferrite-core/catalog/ferrite_material_characteristics_en.pdf" TargetMode="External"/><Relationship Id="rId13" Type="http://schemas.openxmlformats.org/officeDocument/2006/relationships/hyperlink" Target="https://product.tdk.com/en/system/files/dam/doc/product/ferrite/ferrite/ferrite-core/catalog/ferrite_material_characteristics_en.pdf" TargetMode="External"/><Relationship Id="rId14" Type="http://schemas.openxmlformats.org/officeDocument/2006/relationships/hyperlink" Target="https://product.tdk.com/en/system/files/dam/doc/product/ferrite/ferrite/ferrite-core/catalog/ferrite_material_characteristics_en.pdf" TargetMode="External"/><Relationship Id="rId15" Type="http://schemas.openxmlformats.org/officeDocument/2006/relationships/hyperlink" Target="https://product.tdk.com/en/system/files/dam/doc/product/ferrite/ferrite/ferrite-core/catalog/ferrite_material_characteristics_en.pdf" TargetMode="External"/><Relationship Id="rId16" Type="http://schemas.openxmlformats.org/officeDocument/2006/relationships/hyperlink" Target="https://product.tdk.com/en/system/files/dam/doc/product/ferrite/ferrite/ferrite-core/catalog/ferrite_material_characteristics_en.pdf" TargetMode="External"/><Relationship Id="rId17" Type="http://schemas.openxmlformats.org/officeDocument/2006/relationships/hyperlink" Target="https://product.tdk.com/en/system/files/dam/doc/product/ferrite/ferrite/ferrite-core/catalog/ferrite_material_characteristics_en.pdf" TargetMode="External"/><Relationship Id="rId18" Type="http://schemas.openxmlformats.org/officeDocument/2006/relationships/hyperlink" Target="https://product.tdk.com/en/system/files/dam/doc/product/ferrite/ferrite/ferrite-core/catalog/ferrite_material_characteristics_en.pdf" TargetMode="External"/><Relationship Id="rId19" Type="http://schemas.openxmlformats.org/officeDocument/2006/relationships/hyperlink" Target="https://product.tdk.com/en/system/files/dam/doc/product/ferrite/ferrite/ferrite-core/catalog/ferrite_material_characteristics_en.pdf" TargetMode="External"/><Relationship Id="rId20" Type="http://schemas.openxmlformats.org/officeDocument/2006/relationships/hyperlink" Target="https://www.tdk-electronics.tdk.com/download/540184/3a7f957d754f899aec42cd946598c5c4/pdf-n27.pdf" TargetMode="External"/><Relationship Id="rId21" Type="http://schemas.openxmlformats.org/officeDocument/2006/relationships/hyperlink" Target="https://www.tdk-electronics.tdk.com/download/528882/990c299b916e9f3eb7e44ad563b7f0b9/pdf-n87.pdf" TargetMode="External"/><Relationship Id="rId22" Type="http://schemas.openxmlformats.org/officeDocument/2006/relationships/hyperlink" Target="https://www.tdk-electronics.tdk.com/download/433916/cee245ee621a6b10bd5897f906870869/pdf-n88.pdf" TargetMode="External"/><Relationship Id="rId23" Type="http://schemas.openxmlformats.org/officeDocument/2006/relationships/hyperlink" Target="https://www.tdk-electronics.tdk.com/download/540222/2eb193d57530c5ad7aef246387fea250/pdf-n92.pdf" TargetMode="External"/><Relationship Id="rId24" Type="http://schemas.openxmlformats.org/officeDocument/2006/relationships/hyperlink" Target="https://www.tdk-electronics.tdk.com/download/540200/07b76833cf9a9f064109a5b937e959ba/pdf-n95.pdf" TargetMode="External"/><Relationship Id="rId25" Type="http://schemas.openxmlformats.org/officeDocument/2006/relationships/hyperlink" Target="https://www.tdk-electronics.tdk.com/download/528886/d28e0ebe7095bcdafa28C3d7d21aa41/pdf-n97.pdf" TargetMode="External"/><Relationship Id="rId26" Type="http://schemas.openxmlformats.org/officeDocument/2006/relationships/hyperlink" Target="https://www.tdk-electronics.tdk.com/download/187212/7c00ae12f80c6674c70addb552287bf6/pdf-n49.pdf" TargetMode="External"/><Relationship Id="rId27" Type="http://schemas.openxmlformats.org/officeDocument/2006/relationships/hyperlink" Target="https://elnamagnetics.com/wp-content/uploads/library/Ferroxcube-Materials/3C90_Material_Specification.pdf" TargetMode="External"/><Relationship Id="rId28" Type="http://schemas.openxmlformats.org/officeDocument/2006/relationships/hyperlink" Target="https://elnamagnetics.com/wp-content/uploads/library/Ferroxcube-Materials/3C94_Material_Specification.pdf" TargetMode="External"/><Relationship Id="rId29" Type="http://schemas.openxmlformats.org/officeDocument/2006/relationships/hyperlink" Target="https://elnamagnetics.com/wp-content/uploads/library/Ferroxcube-Materials/3C95_Material_Specification.pdf" TargetMode="External"/><Relationship Id="rId30" Type="http://schemas.openxmlformats.org/officeDocument/2006/relationships/hyperlink" Target="https://www.ferroxcube.com/en-global/download/download/90" TargetMode="External"/><Relationship Id="rId31" Type="http://schemas.openxmlformats.org/officeDocument/2006/relationships/hyperlink" Target="https://elnamagnetics.com/wp-content/uploads/library/Ferroxcube-Materials/3C97_Material_Specification.pdf" TargetMode="External"/><Relationship Id="rId32" Type="http://schemas.openxmlformats.org/officeDocument/2006/relationships/hyperlink" Target="https://www.ferroxcube.com/en-global/download/download/90" TargetMode="External"/><Relationship Id="rId33" Type="http://schemas.openxmlformats.org/officeDocument/2006/relationships/hyperlink" Target="https://www.ferroxcube.com/en-global/ak_material/index/power_conversion" TargetMode="External"/><Relationship Id="rId34" Type="http://schemas.openxmlformats.org/officeDocument/2006/relationships/hyperlink" Target="https://www.ferroxcube.com/en-global/ak_material/index/power_conversion" TargetMode="External"/><Relationship Id="rId35" Type="http://schemas.openxmlformats.org/officeDocument/2006/relationships/hyperlink" Target="https://elnamagnetics.com/wp-content/uploads/library/Ferroxcube-Materials/3F3_Material_Specification.pdf" TargetMode="External"/><Relationship Id="rId36" Type="http://schemas.openxmlformats.org/officeDocument/2006/relationships/hyperlink" Target="https://elnamagnetics.com/wp-content/uploads/library/Ferroxcube-Materials/3F36_Material_Specification.pdf" TargetMode="External"/><Relationship Id="rId37" Type="http://schemas.openxmlformats.org/officeDocument/2006/relationships/hyperlink" Target="https://www.ferroxcube.com/en-global/ak_material/index/power_conversion" TargetMode="External"/><Relationship Id="rId38" Type="http://schemas.openxmlformats.org/officeDocument/2006/relationships/hyperlink" Target="https://www.ferroxcube.com/en-global/ak_material/index/power_conversion" TargetMode="External"/><Relationship Id="rId39" Type="http://schemas.openxmlformats.org/officeDocument/2006/relationships/hyperlink" Target="https://www.ferroxcube.com/en-global/ak_material/index/power_conversion" TargetMode="External"/><Relationship Id="rId40" Type="http://schemas.openxmlformats.org/officeDocument/2006/relationships/hyperlink" Target="https://www.ferroxcube.com/en-global/ak_material/index/power_conversion" TargetMode="External"/><Relationship Id="rId41" Type="http://schemas.openxmlformats.org/officeDocument/2006/relationships/hyperlink" Target="https://www.mag-inc.com/Media/Magnetics/File-Library/Product%20Literature/Ferrite%20Literature/Magnetics-2022-Ferrite-Catalog.pdf" TargetMode="External"/><Relationship Id="rId42" Type="http://schemas.openxmlformats.org/officeDocument/2006/relationships/hyperlink" Target="https://www.mag-inc.com/Media/Magnetics/File-Library/Product%20Literature/Ferrite%20Literature/Magnetics-2022-Ferrite-Catalog.pdf" TargetMode="External"/><Relationship Id="rId43" Type="http://schemas.openxmlformats.org/officeDocument/2006/relationships/hyperlink" Target="https://www.mag-inc.com/Media/Magnetics/File-Library/Product%20Literature/Ferrite%20Literature/Magnetics-2022-Ferrite-Catalog.pdf" TargetMode="External"/><Relationship Id="rId44" Type="http://schemas.openxmlformats.org/officeDocument/2006/relationships/hyperlink" Target="https://www.mag-inc.com/Media/Magnetics/File-Library/Product%20Literature/Ferrite%20Literature/Magnetics-2022-Ferrite-Catalog.pdf" TargetMode="External"/><Relationship Id="rId45" Type="http://schemas.openxmlformats.org/officeDocument/2006/relationships/hyperlink" Target="https://www.mag-inc.com/Media/Magnetics/File-Library/Product%20Literature/Ferrite%20Literature/Magnetics-2022-Ferrite-Catalog.pdf" TargetMode="External"/><Relationship Id="rId46" Type="http://schemas.openxmlformats.org/officeDocument/2006/relationships/hyperlink" Target="https://www.mag-inc.com/Media/Magnetics/File-Library/Product%20Literature/Ferrite%20Literature/Magnetics-2022-Ferrite-Catalog.pdf" TargetMode="External"/><Relationship Id="rId47" Type="http://schemas.openxmlformats.org/officeDocument/2006/relationships/hyperlink" Target="https://www.mag-inc.com/Media/Magnetics/File-Library/Product%20Literature/Ferrite%20Literature/Magnetics-2022-Ferrite-Catalog.pdf" TargetMode="External"/><Relationship Id="rId48" Type="http://schemas.openxmlformats.org/officeDocument/2006/relationships/hyperlink" Target="https://www.mag-inc.com/Media/Magnetics/File-Library/Product%20Literature/Ferrite%20Literature/Magnetics-2022-Ferrite-Catalog.pdf" TargetMode="External"/><Relationship Id="rId49" Type="http://schemas.openxmlformats.org/officeDocument/2006/relationships/hyperlink" Target="https://fair-rite.com/78-material-data-sheet/" TargetMode="External"/><Relationship Id="rId50" Type="http://schemas.openxmlformats.org/officeDocument/2006/relationships/hyperlink" Target="https://fair-rite.com/95-material-data-sheet/" TargetMode="External"/><Relationship Id="rId5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dmegc.de/uploads/20230401/DMR40%20Material%20Characteristics.pdf" TargetMode="External"/><Relationship Id="rId2" Type="http://schemas.openxmlformats.org/officeDocument/2006/relationships/hyperlink" Target="https://dmegc.de/uploads/20230401/DMR44%20Material%20Characteristics.pdf" TargetMode="External"/><Relationship Id="rId3" Type="http://schemas.openxmlformats.org/officeDocument/2006/relationships/hyperlink" Target="https://dmegc.de/uploads/20230401/DMR95%20Material%20Characteristics.pdf" TargetMode="External"/><Relationship Id="rId4" Type="http://schemas.openxmlformats.org/officeDocument/2006/relationships/hyperlink" Target="https://dmegc.de/uploads/20230401/DMR95B%20Material%20Characteristics.pdf" TargetMode="External"/><Relationship Id="rId5" Type="http://schemas.openxmlformats.org/officeDocument/2006/relationships/hyperlink" Target="https://dmegc.de/uploads/20230401/DMR96%20Material%20Characteristics.pdf" TargetMode="External"/><Relationship Id="rId6" Type="http://schemas.openxmlformats.org/officeDocument/2006/relationships/hyperlink" Target="https://dmegc.de/uploads/20230401/DMR51W%20Material%20Characteristics.pdf" TargetMode="External"/><Relationship Id="rId7" Type="http://schemas.openxmlformats.org/officeDocument/2006/relationships/hyperlink" Target="https://dmegc.de/product.php?id=2" TargetMode="External"/><Relationship Id="rId8" Type="http://schemas.openxmlformats.org/officeDocument/2006/relationships/hyperlink" Target="https://dmegc.de/product.php?id=2" TargetMode="External"/><Relationship Id="rId9" Type="http://schemas.openxmlformats.org/officeDocument/2006/relationships/hyperlink" Target="https://dmegc.de/product.php?id=2" TargetMode="External"/><Relationship Id="rId10" Type="http://schemas.openxmlformats.org/officeDocument/2006/relationships/hyperlink" Target="https://dmegc.de/product.php?id=2" TargetMode="External"/><Relationship Id="rId11" Type="http://schemas.openxmlformats.org/officeDocument/2006/relationships/hyperlink" Target="https://dmegc.de/product.php?id=2" TargetMode="External"/><Relationship Id="rId12" Type="http://schemas.openxmlformats.org/officeDocument/2006/relationships/hyperlink" Target="https://dmegc.de/product.php?id=2" TargetMode="External"/><Relationship Id="rId13" Type="http://schemas.openxmlformats.org/officeDocument/2006/relationships/hyperlink" Target="https://www.tdgcore.com/en/technical-support/data-download/" TargetMode="External"/><Relationship Id="rId14" Type="http://schemas.openxmlformats.org/officeDocument/2006/relationships/hyperlink" Target="https://www.tdgcore.com/en/technical-support/data-download/" TargetMode="External"/><Relationship Id="rId15" Type="http://schemas.openxmlformats.org/officeDocument/2006/relationships/hyperlink" Target="https://www.tdgcore.com/en/technical-support/data-download/" TargetMode="External"/><Relationship Id="rId16" Type="http://schemas.openxmlformats.org/officeDocument/2006/relationships/hyperlink" Target="https://www.tdgcore.com/en/technical-support/data-download/" TargetMode="External"/><Relationship Id="rId17" Type="http://schemas.openxmlformats.org/officeDocument/2006/relationships/hyperlink" Target="https://www.tdgcore.com/en/technical-support/data-download/" TargetMode="External"/><Relationship Id="rId18" Type="http://schemas.openxmlformats.org/officeDocument/2006/relationships/hyperlink" Target="https://www.tdgcore.com/en/technical-support/data-download/" TargetMode="External"/><Relationship Id="rId19" Type="http://schemas.openxmlformats.org/officeDocument/2006/relationships/hyperlink" Target="https://www.tdgcore.com/en/technical-support/data-download/" TargetMode="External"/><Relationship Id="rId20" Type="http://schemas.openxmlformats.org/officeDocument/2006/relationships/hyperlink" Target="http://en.ncd.com.cn/product/3.html" TargetMode="External"/><Relationship Id="rId2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tdk-electronics.tdk.com/inf/80/db/fer/etd_29_16_10.pdf" TargetMode="External"/><Relationship Id="rId2" Type="http://schemas.openxmlformats.org/officeDocument/2006/relationships/hyperlink" Target="https://www.tdk-electronics.tdk.com/inf/80/db/fer/etd_34_17_11.pdf" TargetMode="External"/><Relationship Id="rId3" Type="http://schemas.openxmlformats.org/officeDocument/2006/relationships/hyperlink" Target="https://www.tdk-electronics.tdk.com/inf/80/db/fer/etd_39_20_13.pdf" TargetMode="External"/><Relationship Id="rId4" Type="http://schemas.openxmlformats.org/officeDocument/2006/relationships/hyperlink" Target="https://www.tdk-electronics.tdk.com/inf/80/db/fer/etd_44_22_15.pdf" TargetMode="External"/><Relationship Id="rId5" Type="http://schemas.openxmlformats.org/officeDocument/2006/relationships/hyperlink" Target="https://www.tdk-electronics.tdk.com/inf/80/db/fer/etd_49_25_16.pdf" TargetMode="External"/><Relationship Id="rId6" Type="http://schemas.openxmlformats.org/officeDocument/2006/relationships/hyperlink" Target="https://www.tdk-electronics.tdk.com/inf/80/db/fer/etd_54_28_19.pdf" TargetMode="External"/><Relationship Id="rId7" Type="http://schemas.openxmlformats.org/officeDocument/2006/relationships/hyperlink" Target="https://www.tdk-electronics.tdk.com/inf/80/db/fer/etd_59_31_22.pdf" TargetMode="External"/><Relationship Id="rId8" Type="http://schemas.openxmlformats.org/officeDocument/2006/relationships/hyperlink" Target="https://www.tdk-electronics.tdk.com/inf/80/db/fer/e_13_7_4.pdf" TargetMode="External"/><Relationship Id="rId9" Type="http://schemas.openxmlformats.org/officeDocument/2006/relationships/hyperlink" Target="https://www.tdk-electronics.tdk.com/inf/80/db/fer/e_16_8_5.pdf" TargetMode="External"/><Relationship Id="rId10" Type="http://schemas.openxmlformats.org/officeDocument/2006/relationships/hyperlink" Target="https://www.tdk-electronics.tdk.com/inf/80/db/fer/e_20_10_6.pdf" TargetMode="External"/><Relationship Id="rId11" Type="http://schemas.openxmlformats.org/officeDocument/2006/relationships/hyperlink" Target="https://www.tdk-electronics.tdk.com/inf/80/db/fer/e_25_13_7.pdf" TargetMode="External"/><Relationship Id="rId12" Type="http://schemas.openxmlformats.org/officeDocument/2006/relationships/hyperlink" Target="https://www.tdk-electronics.tdk.com/inf/80/db/fer/e_30_15_7.pdf" TargetMode="External"/><Relationship Id="rId13" Type="http://schemas.openxmlformats.org/officeDocument/2006/relationships/hyperlink" Target="https://www.tdk-electronics.tdk.com/inf/80/db/fer/e_32_16_9.pdf" TargetMode="External"/><Relationship Id="rId14" Type="http://schemas.openxmlformats.org/officeDocument/2006/relationships/hyperlink" Target="https://www.tdk-electronics.tdk.com/inf/80/db/fer/e_36_18_11.pdf" TargetMode="External"/><Relationship Id="rId15" Type="http://schemas.openxmlformats.org/officeDocument/2006/relationships/hyperlink" Target="https://www.tdk-electronics.tdk.com/inf/80/db/fer/e_42_21_20.pdf" TargetMode="External"/><Relationship Id="rId16" Type="http://schemas.openxmlformats.org/officeDocument/2006/relationships/hyperlink" Target="https://www.tdk-electronics.tdk.com/inf/80/db/fer/e_55_28_21.pdf" TargetMode="External"/><Relationship Id="rId17" Type="http://schemas.openxmlformats.org/officeDocument/2006/relationships/hyperlink" Target="https://www.tdk-electronics.tdk.com/inf/80/db/fer/e_65_32_27.pdf" TargetMode="External"/><Relationship Id="rId18" Type="http://schemas.openxmlformats.org/officeDocument/2006/relationships/hyperlink" Target="https://www.tdk-electronics.tdk.com/inf/80/db/fer/efd_20_10_7.pdf" TargetMode="External"/><Relationship Id="rId19" Type="http://schemas.openxmlformats.org/officeDocument/2006/relationships/hyperlink" Target="https://www.tdk-electronics.tdk.com/inf/80/db/fer/efd_25_13_9.pdf" TargetMode="External"/><Relationship Id="rId20" Type="http://schemas.openxmlformats.org/officeDocument/2006/relationships/hyperlink" Target="https://www.tdk-electronics.tdk.com/inf/80/db/fer/efd_30_15_9.pdf" TargetMode="External"/><Relationship Id="rId21" Type="http://schemas.openxmlformats.org/officeDocument/2006/relationships/hyperlink" Target="https://www.tdk-electronics.tdk.com/inf/80/ds/b65875b.pdf" TargetMode="External"/><Relationship Id="rId22" Type="http://schemas.openxmlformats.org/officeDocument/2006/relationships/hyperlink" Target="https://www.tdk-electronics.tdk.com/inf/80/ds/b65875a.pdf" TargetMode="External"/><Relationship Id="rId23" Type="http://schemas.openxmlformats.org/officeDocument/2006/relationships/hyperlink" Target="https://www.tdk-electronics.tdk.com/inf/80/db/fer/pq_26_20.pdf" TargetMode="External"/><Relationship Id="rId24" Type="http://schemas.openxmlformats.org/officeDocument/2006/relationships/hyperlink" Target="https://www.tdk-electronics.tdk.com/inf/80/db/fer/pq_26_25.pdf" TargetMode="External"/><Relationship Id="rId25" Type="http://schemas.openxmlformats.org/officeDocument/2006/relationships/hyperlink" Target="https://www.tdk-electronics.tdk.com/inf/80/db/fer/pq_32_30.pdf" TargetMode="External"/><Relationship Id="rId26" Type="http://schemas.openxmlformats.org/officeDocument/2006/relationships/hyperlink" Target="https://www.tdk-electronics.tdk.com/inf/80/db/fer/pq_35_35.pdf" TargetMode="External"/><Relationship Id="rId27" Type="http://schemas.openxmlformats.org/officeDocument/2006/relationships/hyperlink" Target="https://www.tdk-electronics.tdk.com/inf/80/db/fer/pq_40_40.pdf" TargetMode="External"/><Relationship Id="rId28" Type="http://schemas.openxmlformats.org/officeDocument/2006/relationships/hyperlink" Target="https://www.tdk-electronics.tdk.com/inf/80/db/fer/pq_50_50.pdf" TargetMode="External"/><Relationship Id="rId29" Type="http://schemas.openxmlformats.org/officeDocument/2006/relationships/hyperlink" Target="https://www.tdk-electronics.tdk.com/inf/80/db/fer/rm_6.pdf" TargetMode="External"/><Relationship Id="rId30" Type="http://schemas.openxmlformats.org/officeDocument/2006/relationships/hyperlink" Target="https://www.tdk-electronics.tdk.com/inf/80/db/fer/rm_6.pdf" TargetMode="External"/><Relationship Id="rId31" Type="http://schemas.openxmlformats.org/officeDocument/2006/relationships/hyperlink" Target="https://www.tdk-electronics.tdk.com/inf/80/db/fer/rm_8.pdf" TargetMode="External"/><Relationship Id="rId32" Type="http://schemas.openxmlformats.org/officeDocument/2006/relationships/hyperlink" Target="https://www.tdk-electronics.tdk.com/inf/80/db/fer/rm_8.pdf" TargetMode="External"/><Relationship Id="rId33" Type="http://schemas.openxmlformats.org/officeDocument/2006/relationships/hyperlink" Target="https://www.tdk-electronics.tdk.com/inf/80/db/fer/rm_10.pdf" TargetMode="External"/><Relationship Id="rId34" Type="http://schemas.openxmlformats.org/officeDocument/2006/relationships/hyperlink" Target="https://www.tdk-electronics.tdk.com/inf/80/db/fer/rm_10.pdf" TargetMode="External"/><Relationship Id="rId35" Type="http://schemas.openxmlformats.org/officeDocument/2006/relationships/hyperlink" Target="https://www.tdk-electronics.tdk.com/inf/80/db/fer/rm_14.pdf" TargetMode="External"/><Relationship Id="rId36" Type="http://schemas.openxmlformats.org/officeDocument/2006/relationships/hyperlink" Target="https://www.tdk-electronics.tdk.com/inf/80/db/fer/rm_14.pdf" TargetMode="External"/><Relationship Id="rId37" Type="http://schemas.openxmlformats.org/officeDocument/2006/relationships/hyperlink" Target="https://www.tdk-electronics.tdk.com/inf/80/db/fer/ep_13.pdf" TargetMode="External"/><Relationship Id="rId38" Type="http://schemas.openxmlformats.org/officeDocument/2006/relationships/hyperlink" Target="https://www.tdk-electronics.tdk.com/inf/80/db/fer/er_11_5.pdf" TargetMode="External"/><Relationship Id="rId39" Type="http://schemas.openxmlformats.org/officeDocument/2006/relationships/hyperlink" Target="https://www.tdk-electronics.tdk.com/inf/80/db/fer/elp_22_6_16.pdf" TargetMode="External"/><Relationship Id="rId40" Type="http://schemas.openxmlformats.org/officeDocument/2006/relationships/hyperlink" Target="https://www.tdk-electronics.tdk.com/inf/80/db/fer/elp_22_6_16.pdf" TargetMode="External"/><Relationship Id="rId41" Type="http://schemas.openxmlformats.org/officeDocument/2006/relationships/hyperlink" Target="https://www.tdk-electronics.tdk.com/inf/80/db/fer/elp_32_6_20.pdf" TargetMode="External"/><Relationship Id="rId42" Type="http://schemas.openxmlformats.org/officeDocument/2006/relationships/hyperlink" Target="https://www.tdk-electronics.tdk.com/inf/80/db/fer/elp_32_6_20.pdf" TargetMode="External"/><Relationship Id="rId43" Type="http://schemas.openxmlformats.org/officeDocument/2006/relationships/hyperlink" Target="https://www.tdk-electronics.tdk.com/inf/80/db/fer/elp_38_8_25.pdf" TargetMode="External"/><Relationship Id="rId44" Type="http://schemas.openxmlformats.org/officeDocument/2006/relationships/hyperlink" Target="https://www.tdk-electronics.tdk.com/inf/80/db/fer/elp_38_8_25.pdf" TargetMode="External"/><Relationship Id="rId45" Type="http://schemas.openxmlformats.org/officeDocument/2006/relationships/hyperlink" Target="https://www.tdk-electronics.tdk.com/inf/80/db/fer/elp_43_10_28.pdf" TargetMode="External"/><Relationship Id="rId46" Type="http://schemas.openxmlformats.org/officeDocument/2006/relationships/hyperlink" Target="https://www.tdk-electronics.tdk.com/inf/80/db/fer/elp_43_10_28.pdf" TargetMode="External"/><Relationship Id="rId47" Type="http://schemas.openxmlformats.org/officeDocument/2006/relationships/hyperlink" Target="https://www.tdk-electronics.tdk.com/inf/80/db/fer/elp_58_11_38.pdf" TargetMode="External"/><Relationship Id="rId48" Type="http://schemas.openxmlformats.org/officeDocument/2006/relationships/hyperlink" Target="https://www.tdk-electronics.tdk.com/inf/80/db/fer/elp_58_11_38.pdf" TargetMode="External"/><Relationship Id="rId49" Type="http://schemas.openxmlformats.org/officeDocument/2006/relationships/hyperlink" Target="https://www.tdk-electronics.tdk.com/inf/80/db/fer/elp_64_10_50.pdf" TargetMode="External"/><Relationship Id="rId50" Type="http://schemas.openxmlformats.org/officeDocument/2006/relationships/hyperlink" Target="https://www.tdk-electronics.tdk.com/inf/80/db/fer/elp_64_10_50.pdf" TargetMode="External"/><Relationship Id="rId51" Type="http://schemas.openxmlformats.org/officeDocument/2006/relationships/hyperlink" Target="https://www.tdk-electronics.tdk.com/inf/80/db/fer/r_40_0_24_0_16_0.pdf" TargetMode="External"/><Relationship Id="rId52" Type="http://schemas.openxmlformats.org/officeDocument/2006/relationships/hyperlink" Target="https://product.tdk.com/en/system/files/dam/doc/product/ferrite/ferrite/ferrite-core/catalog/ferrite_mz_sw_e_en.pdf" TargetMode="External"/><Relationship Id="rId53" Type="http://schemas.openxmlformats.org/officeDocument/2006/relationships/hyperlink" Target="https://product.tdk.com/en/system/files/dam/doc/product/ferrite/ferrite/ferrite-core/catalog/ferrite_mz_sw_e_en.pdf" TargetMode="External"/><Relationship Id="rId54" Type="http://schemas.openxmlformats.org/officeDocument/2006/relationships/hyperlink" Target="https://product.tdk.com/en/system/files/dam/doc/product/ferrite/ferrite/ferrite-core/catalog/ferrite_mz_sw_e_en.pdf" TargetMode="External"/><Relationship Id="rId55" Type="http://schemas.openxmlformats.org/officeDocument/2006/relationships/hyperlink" Target="https://product.tdk.com/en/system/files/dam/doc/product/ferrite/ferrite/ferrite-core/catalog/ferrite_mz_sw_e_en.pdf" TargetMode="External"/><Relationship Id="rId56" Type="http://schemas.openxmlformats.org/officeDocument/2006/relationships/hyperlink" Target="https://product.tdk.com/en/system/files/dam/doc/product/ferrite/ferrite/ferrite-core/catalog/ferrite_mz_sw_e_en.pdf" TargetMode="External"/><Relationship Id="rId57" Type="http://schemas.openxmlformats.org/officeDocument/2006/relationships/hyperlink" Target="https://product.tdk.com/en/system/files/dam/doc/product/ferrite/ferrite/ferrite-core/catalog/ferrite_mz_sw_e_en.pdf" TargetMode="External"/><Relationship Id="rId58" Type="http://schemas.openxmlformats.org/officeDocument/2006/relationships/hyperlink" Target="https://product.tdk.com/en/system/files/dam/doc/product/ferrite/ferrite/ferrite-core/catalog/ferrite_mz_sw_e_en.pdf" TargetMode="External"/><Relationship Id="rId59" Type="http://schemas.openxmlformats.org/officeDocument/2006/relationships/hyperlink" Target="https://product.tdk.com/en/system/files/dam/doc/product/ferrite/ferrite/ferrite-core/catalog/ferrite_mz_sw_e_en.pdf" TargetMode="External"/><Relationship Id="rId60" Type="http://schemas.openxmlformats.org/officeDocument/2006/relationships/hyperlink" Target="https://product.tdk.com/en/system/files/dam/doc/product/ferrite/ferrite/ferrite-core/catalog/ferrite_mz_sw_e_en.pdf" TargetMode="External"/><Relationship Id="rId61" Type="http://schemas.openxmlformats.org/officeDocument/2006/relationships/hyperlink" Target="https://product.tdk.com/en/system/files/dam/doc/product/ferrite/ferrite/ferrite-core/catalog/ferrite_mz_sw_e_en.pdf" TargetMode="External"/><Relationship Id="rId62" Type="http://schemas.openxmlformats.org/officeDocument/2006/relationships/hyperlink" Target="https://product.tdk.com/en/system/files/dam/doc/product/ferrite/ferrite/ferrite-core/catalog/ferrite_mz_sw_e_en.pdf" TargetMode="External"/><Relationship Id="rId63" Type="http://schemas.openxmlformats.org/officeDocument/2006/relationships/hyperlink" Target="https://product.tdk.com/en/system/files/dam/doc/product/ferrite/ferrite/ferrite-core/catalog/ferrite_mz_sw_e_en.pdf" TargetMode="External"/><Relationship Id="rId64" Type="http://schemas.openxmlformats.org/officeDocument/2006/relationships/hyperlink" Target="https://product.tdk.com/en/system/files/dam/doc/product/ferrite/ferrite/ferrite-core/catalog/ferrite_mz_sw_e_en.pdf" TargetMode="External"/><Relationship Id="rId65" Type="http://schemas.openxmlformats.org/officeDocument/2006/relationships/hyperlink" Target="https://product.tdk.com/en/system/files/dam/doc/product/ferrite/ferrite/ferrite-core/catalog/ferrite_mz_sw_e_en.pdf" TargetMode="External"/><Relationship Id="rId66" Type="http://schemas.openxmlformats.org/officeDocument/2006/relationships/hyperlink" Target="https://product.tdk.com/en/system/files/dam/doc/product/ferrite/ferrite/ferrite-core/catalog/ferrite_mz_sw_e_en.pdf" TargetMode="External"/><Relationship Id="rId67" Type="http://schemas.openxmlformats.org/officeDocument/2006/relationships/hyperlink" Target="https://product.tdk.com/en/system/files/dam/doc/product/ferrite/ferrite/ferrite-core/catalog/ferrite_mz_sw_e_en.pdf" TargetMode="External"/><Relationship Id="rId68" Type="http://schemas.openxmlformats.org/officeDocument/2006/relationships/hyperlink" Target="https://product.tdk.com/en/system/files/dam/doc/product/ferrite/ferrite/ferrite-core/catalog/ferrite_mz_sw_e_en.pdf" TargetMode="External"/><Relationship Id="rId69" Type="http://schemas.openxmlformats.org/officeDocument/2006/relationships/hyperlink" Target="https://product.tdk.com/en/system/files/dam/doc/product/ferrite/ferrite/ferrite-core/catalog/ferrite_mz_sw_e_en.pdf" TargetMode="External"/><Relationship Id="rId70" Type="http://schemas.openxmlformats.org/officeDocument/2006/relationships/hyperlink" Target="https://product.tdk.com/en/system/files/dam/doc/product/ferrite/ferrite/ferrite-core/catalog/ferrite_mz_sw_e_en.pdf" TargetMode="External"/><Relationship Id="rId71" Type="http://schemas.openxmlformats.org/officeDocument/2006/relationships/hyperlink" Target="https://product.tdk.com/en/system/files/dam/doc/product/ferrite/ferrite/ferrite-core/catalog/ferrite_mz_sw_e_en.pdf" TargetMode="External"/><Relationship Id="rId72" Type="http://schemas.openxmlformats.org/officeDocument/2006/relationships/hyperlink" Target="https://product.tdk.com/en/system/files/dam/doc/product/ferrite/ferrite/ferrite-core/catalog/ferrite_mz_sw_e_en.pdf" TargetMode="External"/><Relationship Id="rId73" Type="http://schemas.openxmlformats.org/officeDocument/2006/relationships/hyperlink" Target="https://product.tdk.com/en/system/files/dam/doc/product/ferrite/ferrite/ferrite-core/catalog/ferrite_mz_sw_e_en.pdf" TargetMode="External"/><Relationship Id="rId74" Type="http://schemas.openxmlformats.org/officeDocument/2006/relationships/hyperlink" Target="https://product.tdk.com/en/system/files/dam/doc/product/ferrite/ferrite/ferrite-core/catalog/ferrite_mz_sw_e_en.pdf" TargetMode="External"/><Relationship Id="rId75" Type="http://schemas.openxmlformats.org/officeDocument/2006/relationships/hyperlink" Target="https://product.tdk.com/en/system/files/dam/doc/product/ferrite/ferrite/ferrite-core/catalog/ferrite_mz_sw_e_en.pdf" TargetMode="External"/><Relationship Id="rId76" Type="http://schemas.openxmlformats.org/officeDocument/2006/relationships/hyperlink" Target="https://product.tdk.com/en/system/files/dam/doc/product/ferrite/ferrite/ferrite-core/catalog/ferrite_mz_sw_e_en.pdf" TargetMode="External"/><Relationship Id="rId77" Type="http://schemas.openxmlformats.org/officeDocument/2006/relationships/hyperlink" Target="https://product.tdk.com/en/system/files/dam/doc/product/ferrite/ferrite/ferrite-core/catalog/ferrite_mz_sw_e_en.pdf" TargetMode="External"/><Relationship Id="rId78" Type="http://schemas.openxmlformats.org/officeDocument/2006/relationships/hyperlink" Target="https://product.tdk.com/en/system/files/dam/doc/product/ferrite/ferrite/ferrite-core/catalog/ferrite_mz_sw_e_en.pdf" TargetMode="External"/><Relationship Id="rId79" Type="http://schemas.openxmlformats.org/officeDocument/2006/relationships/hyperlink" Target="https://product.tdk.com/en/system/files/dam/doc/product/ferrite/ferrite/ferrite-core/catalog/ferrite_mz_sw_e_en.pdf" TargetMode="External"/><Relationship Id="rId80" Type="http://schemas.openxmlformats.org/officeDocument/2006/relationships/hyperlink" Target="https://product.tdk.com/en/system/files/dam/doc/product/ferrite/ferrite/ferrite-core/catalog/ferrite_mz_sw_e_en.pdf" TargetMode="External"/><Relationship Id="rId81" Type="http://schemas.openxmlformats.org/officeDocument/2006/relationships/hyperlink" Target="https://product.tdk.com/en/system/files/dam/doc/product/ferrite/ferrite/ferrite-core/catalog/ferrite_mz_sw_e_en.pdf" TargetMode="External"/><Relationship Id="rId82" Type="http://schemas.openxmlformats.org/officeDocument/2006/relationships/hyperlink" Target="https://product.tdk.com/en/system/files/dam/doc/product/ferrite/ferrite/ferrite-core/catalog/ferrite_mz_sw_e_en.pdf" TargetMode="External"/><Relationship Id="rId83" Type="http://schemas.openxmlformats.org/officeDocument/2006/relationships/hyperlink" Target="https://product.tdk.com/en/system/files/dam/doc/product/ferrite/ferrite/ferrite-core/catalog/ferrite_mz_sw_e_en.pdf" TargetMode="External"/><Relationship Id="rId84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www.tdk-electronics.tdk.com/inf/80/db/fer/etd_29_16_10.pdf" TargetMode="External"/><Relationship Id="rId2" Type="http://schemas.openxmlformats.org/officeDocument/2006/relationships/hyperlink" Target="https://www.tdk-electronics.tdk.com/inf/80/db/fer/etd_34_17_11.pdf" TargetMode="External"/><Relationship Id="rId3" Type="http://schemas.openxmlformats.org/officeDocument/2006/relationships/hyperlink" Target="https://www.tdk-electronics.tdk.com/inf/80/db/fer/etd_39_20_13.pdf" TargetMode="External"/><Relationship Id="rId4" Type="http://schemas.openxmlformats.org/officeDocument/2006/relationships/hyperlink" Target="https://www.tdk-electronics.tdk.com/inf/80/db/fer/etd_44_22_15.pdf" TargetMode="External"/><Relationship Id="rId5" Type="http://schemas.openxmlformats.org/officeDocument/2006/relationships/hyperlink" Target="https://www.tdk-electronics.tdk.com/inf/80/db/fer/etd_49_25_16.pdf" TargetMode="External"/><Relationship Id="rId6" Type="http://schemas.openxmlformats.org/officeDocument/2006/relationships/hyperlink" Target="https://www.tdk-electronics.tdk.com/inf/80/db/fer/etd_54_28_19.pdf" TargetMode="External"/><Relationship Id="rId7" Type="http://schemas.openxmlformats.org/officeDocument/2006/relationships/hyperlink" Target="https://www.tdk-electronics.tdk.com/inf/80/db/fer/etd_59_31_22.pdf" TargetMode="External"/><Relationship Id="rId8" Type="http://schemas.openxmlformats.org/officeDocument/2006/relationships/hyperlink" Target="https://www.tdk-electronics.tdk.com/inf/80/db/fer/e_13_7_4.pdf" TargetMode="External"/><Relationship Id="rId9" Type="http://schemas.openxmlformats.org/officeDocument/2006/relationships/hyperlink" Target="https://www.tdk-electronics.tdk.com/inf/80/db/fer/e_16_8_5.pdf" TargetMode="External"/><Relationship Id="rId10" Type="http://schemas.openxmlformats.org/officeDocument/2006/relationships/hyperlink" Target="https://www.tdk-electronics.tdk.com/inf/80/db/fer/e_20_10_6.pdf" TargetMode="External"/><Relationship Id="rId11" Type="http://schemas.openxmlformats.org/officeDocument/2006/relationships/hyperlink" Target="https://www.tdk-electronics.tdk.com/inf/80/db/fer/e_25_13_7.pdf" TargetMode="External"/><Relationship Id="rId12" Type="http://schemas.openxmlformats.org/officeDocument/2006/relationships/hyperlink" Target="https://www.tdk-electronics.tdk.com/inf/80/db/fer/e_30_15_7.pdf" TargetMode="External"/><Relationship Id="rId13" Type="http://schemas.openxmlformats.org/officeDocument/2006/relationships/hyperlink" Target="https://www.tdk-electronics.tdk.com/inf/80/db/fer/e_32_16_9.pdf" TargetMode="External"/><Relationship Id="rId14" Type="http://schemas.openxmlformats.org/officeDocument/2006/relationships/hyperlink" Target="https://www.tdk-electronics.tdk.com/inf/80/db/fer/e_36_18_11.pdf" TargetMode="External"/><Relationship Id="rId15" Type="http://schemas.openxmlformats.org/officeDocument/2006/relationships/hyperlink" Target="https://www.tdk-electronics.tdk.com/inf/80/db/fer/e_42_21_20.pdf" TargetMode="External"/><Relationship Id="rId16" Type="http://schemas.openxmlformats.org/officeDocument/2006/relationships/hyperlink" Target="https://www.tdk-electronics.tdk.com/inf/80/db/fer/e_55_28_21.pdf" TargetMode="External"/><Relationship Id="rId17" Type="http://schemas.openxmlformats.org/officeDocument/2006/relationships/hyperlink" Target="https://www.tdk-electronics.tdk.com/inf/80/db/fer/e_65_32_27.pdf" TargetMode="External"/><Relationship Id="rId18" Type="http://schemas.openxmlformats.org/officeDocument/2006/relationships/hyperlink" Target="https://www.tdk-electronics.tdk.com/inf/80/db/fer/efd_20_10_7.pdf" TargetMode="External"/><Relationship Id="rId19" Type="http://schemas.openxmlformats.org/officeDocument/2006/relationships/hyperlink" Target="https://www.tdk-electronics.tdk.com/inf/80/db/fer/efd_25_13_9.pdf" TargetMode="External"/><Relationship Id="rId20" Type="http://schemas.openxmlformats.org/officeDocument/2006/relationships/hyperlink" Target="https://www.tdk-electronics.tdk.com/inf/80/db/fer/efd_30_15_9.pdf" TargetMode="External"/><Relationship Id="rId21" Type="http://schemas.openxmlformats.org/officeDocument/2006/relationships/hyperlink" Target="https://www.tdk-electronics.tdk.com/inf/80/ds/b65875b.pdf" TargetMode="External"/><Relationship Id="rId22" Type="http://schemas.openxmlformats.org/officeDocument/2006/relationships/hyperlink" Target="https://www.tdk-electronics.tdk.com/inf/80/ds/b65875a.pdf" TargetMode="External"/><Relationship Id="rId23" Type="http://schemas.openxmlformats.org/officeDocument/2006/relationships/hyperlink" Target="https://www.tdk-electronics.tdk.com/inf/80/db/fer/pq_26_20.pdf" TargetMode="External"/><Relationship Id="rId24" Type="http://schemas.openxmlformats.org/officeDocument/2006/relationships/hyperlink" Target="https://www.tdk-electronics.tdk.com/inf/80/db/fer/pq_26_25.pdf" TargetMode="External"/><Relationship Id="rId25" Type="http://schemas.openxmlformats.org/officeDocument/2006/relationships/hyperlink" Target="https://www.tdk-electronics.tdk.com/inf/80/db/fer/pq_32_30.pdf" TargetMode="External"/><Relationship Id="rId26" Type="http://schemas.openxmlformats.org/officeDocument/2006/relationships/hyperlink" Target="https://www.tdk-electronics.tdk.com/inf/80/db/fer/pq_35_35.pdf" TargetMode="External"/><Relationship Id="rId27" Type="http://schemas.openxmlformats.org/officeDocument/2006/relationships/hyperlink" Target="https://www.tdk-electronics.tdk.com/inf/80/db/fer/pq_40_40.pdf" TargetMode="External"/><Relationship Id="rId28" Type="http://schemas.openxmlformats.org/officeDocument/2006/relationships/hyperlink" Target="https://www.tdk-electronics.tdk.com/inf/80/db/fer/pq_50_50.pdf" TargetMode="External"/><Relationship Id="rId29" Type="http://schemas.openxmlformats.org/officeDocument/2006/relationships/hyperlink" Target="https://www.tdk-electronics.tdk.com/inf/80/db/fer/rm_6.pdf" TargetMode="External"/><Relationship Id="rId30" Type="http://schemas.openxmlformats.org/officeDocument/2006/relationships/hyperlink" Target="https://www.tdk-electronics.tdk.com/inf/80/db/fer/rm_6.pdf" TargetMode="External"/><Relationship Id="rId31" Type="http://schemas.openxmlformats.org/officeDocument/2006/relationships/hyperlink" Target="https://www.tdk-electronics.tdk.com/inf/80/db/fer/rm_8.pdf" TargetMode="External"/><Relationship Id="rId32" Type="http://schemas.openxmlformats.org/officeDocument/2006/relationships/hyperlink" Target="https://www.tdk-electronics.tdk.com/inf/80/db/fer/rm_8.pdf" TargetMode="External"/><Relationship Id="rId33" Type="http://schemas.openxmlformats.org/officeDocument/2006/relationships/hyperlink" Target="https://www.tdk-electronics.tdk.com/inf/80/db/fer/rm_10.pdf" TargetMode="External"/><Relationship Id="rId34" Type="http://schemas.openxmlformats.org/officeDocument/2006/relationships/hyperlink" Target="https://www.tdk-electronics.tdk.com/inf/80/db/fer/rm_10.pdf" TargetMode="External"/><Relationship Id="rId35" Type="http://schemas.openxmlformats.org/officeDocument/2006/relationships/hyperlink" Target="https://www.tdk-electronics.tdk.com/inf/80/db/fer/rm_14.pdf" TargetMode="External"/><Relationship Id="rId36" Type="http://schemas.openxmlformats.org/officeDocument/2006/relationships/hyperlink" Target="https://www.tdk-electronics.tdk.com/inf/80/db/fer/rm_14.pdf" TargetMode="External"/><Relationship Id="rId37" Type="http://schemas.openxmlformats.org/officeDocument/2006/relationships/hyperlink" Target="https://www.tdk-electronics.tdk.com/inf/80/db/fer/ep_13.pdf" TargetMode="External"/><Relationship Id="rId38" Type="http://schemas.openxmlformats.org/officeDocument/2006/relationships/hyperlink" Target="https://www.tdk-electronics.tdk.com/inf/80/db/fer/er_11_5.pdf" TargetMode="External"/><Relationship Id="rId39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www.tdk-electronics.tdk.com/download/531540/430be22229a60e7a965817fb299b40fb/pdf-materialsaccessories.pdf" TargetMode="External"/><Relationship Id="rId2" Type="http://schemas.openxmlformats.org/officeDocument/2006/relationships/hyperlink" Target="https://www.tdk-electronics.tdk.com/download/531540/430be22229a60e7a965817fb299b40fb/pdf-materialsaccessories.pdf" TargetMode="External"/><Relationship Id="rId3" Type="http://schemas.openxmlformats.org/officeDocument/2006/relationships/hyperlink" Target="https://www.tdk-electronics.tdk.com/download/531540/430be22229a60e7a965817fb299b40fb/pdf-materialsaccessories.pdf" TargetMode="External"/><Relationship Id="rId4" Type="http://schemas.openxmlformats.org/officeDocument/2006/relationships/hyperlink" Target="https://www.tdk-electronics.tdk.com/download/531540/430be22229a60e7a965817fb299b40fb/pdf-materialsaccessories.pdf" TargetMode="External"/><Relationship Id="rId5" Type="http://schemas.openxmlformats.org/officeDocument/2006/relationships/hyperlink" Target="https://www.tdk-electronics.tdk.com/download/531540/430be22229a60e7a965817fb299b40fb/pdf-materialsaccessories.pdf" TargetMode="External"/><Relationship Id="rId6" Type="http://schemas.openxmlformats.org/officeDocument/2006/relationships/hyperlink" Target="https://www.tdk-electronics.tdk.com/download/531540/430be22229a60e7a965817fb299b40fb/pdf-materialsaccessories.pdf" TargetMode="External"/><Relationship Id="rId7" Type="http://schemas.openxmlformats.org/officeDocument/2006/relationships/hyperlink" Target="https://www.tdk-electronics.tdk.com/download/531540/430be22229a60e7a965817fb299b40fb/pdf-materialsaccessories.pdf" TargetMode="External"/><Relationship Id="rId8" Type="http://schemas.openxmlformats.org/officeDocument/2006/relationships/hyperlink" Target="https://www.tdk-electronics.tdk.com/download/531540/430be22229a60e7a965817fb299b40fb/pdf-materialsaccessories.pdf" TargetMode="External"/><Relationship Id="rId9" Type="http://schemas.openxmlformats.org/officeDocument/2006/relationships/hyperlink" Target="https://www.tdk-electronics.tdk.com/inf/80/db/fer/e_30_15_7.pdf" TargetMode="External"/><Relationship Id="rId10" Type="http://schemas.openxmlformats.org/officeDocument/2006/relationships/hyperlink" Target="https://www.tdk-electronics.tdk.com/inf/80/db/fer/rm_6.pdf" TargetMode="External"/><Relationship Id="rId11" Type="http://schemas.openxmlformats.org/officeDocument/2006/relationships/hyperlink" Target="https://www.tdk-electronics.tdk.com/inf/80/db/fer/etd_39_20_13.pdf" TargetMode="External"/><Relationship Id="rId12" Type="http://schemas.openxmlformats.org/officeDocument/2006/relationships/hyperlink" Target="https://www.tdk-electronics.tdk.com/inf/80/db/fer/efd_20_10_7.pdf" TargetMode="External"/><Relationship Id="rId13" Type="http://schemas.openxmlformats.org/officeDocument/2006/relationships/hyperlink" Target="https://www.tdk-electronics.tdk.com/inf/80/db/fer/elp_32_6_20.pdf" TargetMode="External"/><Relationship Id="rId14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www.tdk-electronics.tdk.com/inf/80/db/fer/etd_29_16_10.pdf" TargetMode="External"/><Relationship Id="rId2" Type="http://schemas.openxmlformats.org/officeDocument/2006/relationships/hyperlink" Target="https://www.tdk-electronics.tdk.com/inf/80/db/fer/etd_29_16_10.pdf" TargetMode="External"/><Relationship Id="rId3" Type="http://schemas.openxmlformats.org/officeDocument/2006/relationships/hyperlink" Target="https://www.tdk-electronics.tdk.com/inf/80/db/fer/etd_29_16_10.pdf" TargetMode="External"/><Relationship Id="rId4" Type="http://schemas.openxmlformats.org/officeDocument/2006/relationships/hyperlink" Target="https://www.tdk-electronics.tdk.com/inf/80/db/fer/etd_29_16_10.pdf" TargetMode="External"/><Relationship Id="rId5" Type="http://schemas.openxmlformats.org/officeDocument/2006/relationships/hyperlink" Target="https://www.tdk-electronics.tdk.com/inf/80/db/fer/etd_34_17_11.pdf" TargetMode="External"/><Relationship Id="rId6" Type="http://schemas.openxmlformats.org/officeDocument/2006/relationships/hyperlink" Target="https://www.tdk-electronics.tdk.com/inf/80/db/fer/etd_34_17_11.pdf" TargetMode="External"/><Relationship Id="rId7" Type="http://schemas.openxmlformats.org/officeDocument/2006/relationships/hyperlink" Target="https://www.tdk-electronics.tdk.com/inf/80/db/fer/etd_34_17_11.pdf" TargetMode="External"/><Relationship Id="rId8" Type="http://schemas.openxmlformats.org/officeDocument/2006/relationships/hyperlink" Target="https://www.tdk-electronics.tdk.com/inf/80/db/fer/etd_34_17_11.pdf" TargetMode="External"/><Relationship Id="rId9" Type="http://schemas.openxmlformats.org/officeDocument/2006/relationships/hyperlink" Target="https://www.tdk-electronics.tdk.com/inf/80/db/fer/etd_34_17_11.pdf" TargetMode="External"/><Relationship Id="rId10" Type="http://schemas.openxmlformats.org/officeDocument/2006/relationships/hyperlink" Target="https://www.tdk-electronics.tdk.com/inf/80/db/fer/etd_39_20_13.pdf" TargetMode="External"/><Relationship Id="rId11" Type="http://schemas.openxmlformats.org/officeDocument/2006/relationships/hyperlink" Target="https://www.tdk-electronics.tdk.com/inf/80/db/fer/etd_39_20_13.pdf" TargetMode="External"/><Relationship Id="rId12" Type="http://schemas.openxmlformats.org/officeDocument/2006/relationships/hyperlink" Target="https://www.tdk-electronics.tdk.com/inf/80/db/fer/etd_39_20_13.pdf" TargetMode="External"/><Relationship Id="rId13" Type="http://schemas.openxmlformats.org/officeDocument/2006/relationships/hyperlink" Target="https://www.tdk-electronics.tdk.com/inf/80/db/fer/etd_39_20_13.pdf" TargetMode="External"/><Relationship Id="rId14" Type="http://schemas.openxmlformats.org/officeDocument/2006/relationships/hyperlink" Target="https://www.tdk-electronics.tdk.com/inf/80/db/fer/etd_39_20_13.pdf" TargetMode="External"/><Relationship Id="rId15" Type="http://schemas.openxmlformats.org/officeDocument/2006/relationships/hyperlink" Target="https://www.tdk-electronics.tdk.com/inf/80/db/fer/etd_44_22_15.pdf" TargetMode="External"/><Relationship Id="rId16" Type="http://schemas.openxmlformats.org/officeDocument/2006/relationships/hyperlink" Target="https://www.tdk-electronics.tdk.com/inf/80/db/fer/etd_44_22_15.pdf" TargetMode="External"/><Relationship Id="rId17" Type="http://schemas.openxmlformats.org/officeDocument/2006/relationships/hyperlink" Target="https://www.tdk-electronics.tdk.com/inf/80/db/fer/etd_44_22_15.pdf" TargetMode="External"/><Relationship Id="rId18" Type="http://schemas.openxmlformats.org/officeDocument/2006/relationships/hyperlink" Target="https://www.tdk-electronics.tdk.com/inf/80/db/fer/etd_44_22_15.pdf" TargetMode="External"/><Relationship Id="rId19" Type="http://schemas.openxmlformats.org/officeDocument/2006/relationships/hyperlink" Target="https://www.tdk-electronics.tdk.com/inf/80/db/fer/etd_44_22_15.pdf" TargetMode="External"/><Relationship Id="rId20" Type="http://schemas.openxmlformats.org/officeDocument/2006/relationships/hyperlink" Target="https://www.tdk-electronics.tdk.com/inf/80/db/fer/etd_49_25_16.pdf" TargetMode="External"/><Relationship Id="rId21" Type="http://schemas.openxmlformats.org/officeDocument/2006/relationships/hyperlink" Target="https://www.tdk-electronics.tdk.com/inf/80/db/fer/etd_49_25_16.pdf" TargetMode="External"/><Relationship Id="rId22" Type="http://schemas.openxmlformats.org/officeDocument/2006/relationships/hyperlink" Target="https://www.tdk-electronics.tdk.com/inf/80/db/fer/etd_49_25_16.pdf" TargetMode="External"/><Relationship Id="rId23" Type="http://schemas.openxmlformats.org/officeDocument/2006/relationships/hyperlink" Target="https://www.tdk-electronics.tdk.com/inf/80/db/fer/etd_49_25_16.pdf" TargetMode="External"/><Relationship Id="rId24" Type="http://schemas.openxmlformats.org/officeDocument/2006/relationships/hyperlink" Target="https://www.tdk-electronics.tdk.com/inf/80/db/fer/etd_49_25_16.pdf" TargetMode="External"/><Relationship Id="rId25" Type="http://schemas.openxmlformats.org/officeDocument/2006/relationships/hyperlink" Target="https://www.tdk-electronics.tdk.com/inf/80/db/fer/etd_54_28_19.pdf" TargetMode="External"/><Relationship Id="rId26" Type="http://schemas.openxmlformats.org/officeDocument/2006/relationships/hyperlink" Target="https://www.tdk-electronics.tdk.com/inf/80/db/fer/etd_54_28_19.pdf" TargetMode="External"/><Relationship Id="rId27" Type="http://schemas.openxmlformats.org/officeDocument/2006/relationships/hyperlink" Target="https://www.tdk-electronics.tdk.com/inf/80/db/fer/e_32_16_9.pdf" TargetMode="External"/><Relationship Id="rId28" Type="http://schemas.openxmlformats.org/officeDocument/2006/relationships/hyperlink" Target="https://www.tdk-electronics.tdk.com/inf/80/db/fer/e_32_16_9.pdf" TargetMode="External"/><Relationship Id="rId29" Type="http://schemas.openxmlformats.org/officeDocument/2006/relationships/hyperlink" Target="https://www.tdk-electronics.tdk.com/inf/80/db/fer/e_36_18_11.pdf" TargetMode="External"/><Relationship Id="rId30" Type="http://schemas.openxmlformats.org/officeDocument/2006/relationships/hyperlink" Target="https://www.tdk-electronics.tdk.com/inf/80/db/fer/e_36_18_11.pdf" TargetMode="External"/><Relationship Id="rId31" Type="http://schemas.openxmlformats.org/officeDocument/2006/relationships/hyperlink" Target="https://www.tdk-electronics.tdk.com/inf/80/db/fer/efd_20_10_7.pdf" TargetMode="External"/><Relationship Id="rId32" Type="http://schemas.openxmlformats.org/officeDocument/2006/relationships/hyperlink" Target="https://www.tdk-electronics.tdk.com/inf/80/db/fer/efd_20_10_7.pdf" TargetMode="External"/><Relationship Id="rId33" Type="http://schemas.openxmlformats.org/officeDocument/2006/relationships/hyperlink" Target="https://www.tdk-electronics.tdk.com/inf/80/db/fer/efd_20_10_7.pdf" TargetMode="External"/><Relationship Id="rId34" Type="http://schemas.openxmlformats.org/officeDocument/2006/relationships/hyperlink" Target="https://www.tdk-electronics.tdk.com/inf/80/db/fer/efd_20_10_7.pdf" TargetMode="External"/><Relationship Id="rId35" Type="http://schemas.openxmlformats.org/officeDocument/2006/relationships/hyperlink" Target="https://www.tdk-electronics.tdk.com/inf/80/db/fer/efd_30_15_9.pdf" TargetMode="External"/><Relationship Id="rId36" Type="http://schemas.openxmlformats.org/officeDocument/2006/relationships/hyperlink" Target="https://www.tdk-electronics.tdk.com/inf/80/db/fer/efd_30_15_9.pdf" TargetMode="External"/><Relationship Id="rId37" Type="http://schemas.openxmlformats.org/officeDocument/2006/relationships/hyperlink" Target="https://www.tdk-electronics.tdk.com/inf/80/db/fer/efd_30_15_9.pdf" TargetMode="External"/><Relationship Id="rId38" Type="http://schemas.openxmlformats.org/officeDocument/2006/relationships/hyperlink" Target="https://www.tdk-electronics.tdk.com/inf/80/db/fer/er_11_5.pdf" TargetMode="External"/><Relationship Id="rId39" Type="http://schemas.openxmlformats.org/officeDocument/2006/relationships/hyperlink" Target="https://www.tdk-electronics.tdk.com/inf/80/db/fer/er_11_5.pdf" TargetMode="External"/><Relationship Id="rId40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s://mwswire.com/wp-content/uploads/2024/01/MWS-copper-magnet-wire-data.pdf" TargetMode="External"/><Relationship Id="rId2" Type="http://schemas.openxmlformats.org/officeDocument/2006/relationships/hyperlink" Target="https://mwswire.com/wp-content/uploads/2024/01/MWS-copper-magnet-wire-data.pdf" TargetMode="External"/><Relationship Id="rId3" Type="http://schemas.openxmlformats.org/officeDocument/2006/relationships/hyperlink" Target="https://mwswire.com/wp-content/uploads/2024/01/MWS-copper-magnet-wire-data.pdf" TargetMode="External"/><Relationship Id="rId4" Type="http://schemas.openxmlformats.org/officeDocument/2006/relationships/hyperlink" Target="https://mwswire.com/wp-content/uploads/2024/01/MWS-copper-magnet-wire-data.pdf" TargetMode="External"/><Relationship Id="rId5" Type="http://schemas.openxmlformats.org/officeDocument/2006/relationships/hyperlink" Target="https://mwswire.com/wp-content/uploads/2024/01/MWS-copper-magnet-wire-data.pdf" TargetMode="External"/><Relationship Id="rId6" Type="http://schemas.openxmlformats.org/officeDocument/2006/relationships/hyperlink" Target="https://mwswire.com/wp-content/uploads/2024/01/MWS-copper-magnet-wire-data.pdf" TargetMode="External"/><Relationship Id="rId7" Type="http://schemas.openxmlformats.org/officeDocument/2006/relationships/hyperlink" Target="https://www.elektrisola.com/Attachments/TechnicalDataBySize/ELEKTRISOLA_EnCuWire_NEMAmetric_Datasheet_eng.pdf" TargetMode="External"/><Relationship Id="rId8" Type="http://schemas.openxmlformats.org/officeDocument/2006/relationships/hyperlink" Target="https://www.elektrisola.com/Attachments/TechnicalDataBySize/ELEKTRISOLA_EnCuWire_NEMAmetric_Datasheet_eng.pdf" TargetMode="External"/><Relationship Id="rId9" Type="http://schemas.openxmlformats.org/officeDocument/2006/relationships/hyperlink" Target="https://www.elektrisola.com/Attachments/TechnicalDataBySize/ELEKTRISOLA_EnCuWire_NEMAmetric_Datasheet_eng.pdf" TargetMode="External"/><Relationship Id="rId10" Type="http://schemas.openxmlformats.org/officeDocument/2006/relationships/hyperlink" Target="https://www.elektrisola.com/Attachments/TechnicalDataBySize/ELEKTRISOLA_EnCuWire_NEMAmetric_Datasheet_eng.pdf" TargetMode="External"/><Relationship Id="rId11" Type="http://schemas.openxmlformats.org/officeDocument/2006/relationships/hyperlink" Target="https://www.elektrisola.com/Attachments/TechnicalDataBySize/ELEKTRISOLA_EnCuWire_NEMAmetric_Datasheet_eng.pdf" TargetMode="External"/><Relationship Id="rId12" Type="http://schemas.openxmlformats.org/officeDocument/2006/relationships/hyperlink" Target="https://www.elektrisola.com/Attachments/TechnicalDataBySize/ELEKTRISOLA_EnCuWire_NEMAmetric_Datasheet_eng.pdf" TargetMode="External"/><Relationship Id="rId13" Type="http://schemas.openxmlformats.org/officeDocument/2006/relationships/hyperlink" Target="https://www.elektrisola.com/Attachments/TechnicalDataBySize/ELEKTRISOLA_EnCuWire_NEMAmetric_Datasheet_eng.pdf" TargetMode="External"/><Relationship Id="rId14" Type="http://schemas.openxmlformats.org/officeDocument/2006/relationships/hyperlink" Target="https://www.elektrisola.com/Attachments/TechnicalDataBySize/ELEKTRISOLA_EnCuWire_NEMAmetric_Datasheet_eng.pdf" TargetMode="External"/><Relationship Id="rId15" Type="http://schemas.openxmlformats.org/officeDocument/2006/relationships/hyperlink" Target="https://www.elektrisola.com/Attachments/TechnicalDataBySize/ELEKTRISOLA_EnCuWire_NEMAmetric_Datasheet_eng.pdf" TargetMode="External"/><Relationship Id="rId16" Type="http://schemas.openxmlformats.org/officeDocument/2006/relationships/hyperlink" Target="https://www.elektrisola.com/Attachments/TechnicalDataBySize/ELEKTRISOLA_EnCuWire_NEMAmetric_Datasheet_eng.pdf" TargetMode="External"/><Relationship Id="rId17" Type="http://schemas.openxmlformats.org/officeDocument/2006/relationships/hyperlink" Target="https://www.elektrisola.com/Attachments/TechnicalDataBySize/ELEKTRISOLA_EnCuWire_NEMAmetric_Datasheet_eng.pdf" TargetMode="External"/><Relationship Id="rId18" Type="http://schemas.openxmlformats.org/officeDocument/2006/relationships/hyperlink" Target="https://www.elektrisola.com/Attachments/TechnicalDataBySize/ELEKTRISOLA_EnCuWire_NEMAmetric_Datasheet_eng.pdf" TargetMode="External"/><Relationship Id="rId19" Type="http://schemas.openxmlformats.org/officeDocument/2006/relationships/hyperlink" Target="https://www.elektrisola.com/Attachments/TechnicalDataBySize/ELEKTRISOLA_EnCuWire_NEMAmetric_Datasheet_eng.pdf" TargetMode="External"/><Relationship Id="rId20" Type="http://schemas.openxmlformats.org/officeDocument/2006/relationships/hyperlink" Target="https://www.elektrisola.com/Attachments/TechnicalDataBySize/ELEKTRISOLA_EnCuWire_NEMAmetric_Datasheet_eng.pdf" TargetMode="External"/><Relationship Id="rId21" Type="http://schemas.openxmlformats.org/officeDocument/2006/relationships/hyperlink" Target="https://www.elektrisola.com/Attachments/TechnicalDataBySize/ELEKTRISOLA_EnCuWire_NEMAmetric_Datasheet_eng.pdf" TargetMode="External"/><Relationship Id="rId22" Type="http://schemas.openxmlformats.org/officeDocument/2006/relationships/hyperlink" Target="https://www.elektrisola.com/Attachments/TechnicalDataBySize/ELEKTRISOLA_EnCuWire_NEMAmetric_Datasheet_eng.pdf" TargetMode="External"/><Relationship Id="rId23" Type="http://schemas.openxmlformats.org/officeDocument/2006/relationships/hyperlink" Target="https://www.elektrisola.com/Attachments/TechnicalDataBySize/ELEKTRISOLA_EnCuWire_NEMAmetric_Datasheet_eng.pdf" TargetMode="External"/><Relationship Id="rId24" Type="http://schemas.openxmlformats.org/officeDocument/2006/relationships/hyperlink" Target="https://www.elektrisola.com/Attachments/TechnicalDataBySize/ELEKTRISOLA_EnCuWire_NEMAmetric_Datasheet_eng.pdf" TargetMode="External"/><Relationship Id="rId25" Type="http://schemas.openxmlformats.org/officeDocument/2006/relationships/hyperlink" Target="https://www.elektrisola.com/Attachments/TechnicalDataBySize/ELEKTRISOLA_EnCuWire_NEMAmetric_Datasheet_eng.pdf" TargetMode="External"/><Relationship Id="rId26" Type="http://schemas.openxmlformats.org/officeDocument/2006/relationships/hyperlink" Target="https://www.elektrisola.com/Attachments/TechnicalDataBySize/ELEKTRISOLA_EnCuWire_NEMAmetric_Datasheet_eng.pdf" TargetMode="External"/><Relationship Id="rId27" Type="http://schemas.openxmlformats.org/officeDocument/2006/relationships/hyperlink" Target="https://www.elektrisola.com/Attachments/TechnicalDataBySize/ELEKTRISOLA_EnCuWire_NEMAmetric_Datasheet_eng.pdf" TargetMode="External"/><Relationship Id="rId28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https://product.tdk.com/en/system/files/dam/doc/product/ferrite/ferrite/ferrite-core/catalog/ferrite_material_characteristics_en.pdf" TargetMode="External"/><Relationship Id="rId2" Type="http://schemas.openxmlformats.org/officeDocument/2006/relationships/hyperlink" Target="https://product.tdk.com/en/system/files/dam/doc/product/ferrite/ferrite/ferrite-core/catalog/ferrite_mz_sw_e_en.pdf" TargetMode="External"/><Relationship Id="rId3" Type="http://schemas.openxmlformats.org/officeDocument/2006/relationships/hyperlink" Target="https://www.tdk-electronics.tdk.com/download/540184/3a7f957d754f899aec42cd946598c5c4/pdf-n27.pdf" TargetMode="External"/><Relationship Id="rId4" Type="http://schemas.openxmlformats.org/officeDocument/2006/relationships/hyperlink" Target="https://www.tdk-electronics.tdk.com/download/528882/990c299b916e9f3eb7e44ad563b7f0b9/pdf-n87.pdf" TargetMode="External"/><Relationship Id="rId5" Type="http://schemas.openxmlformats.org/officeDocument/2006/relationships/hyperlink" Target="https://www.tdk-electronics.tdk.com/download/433916/cee245ee621a6b10bd5897f906870869/pdf-n88.pdf" TargetMode="External"/><Relationship Id="rId6" Type="http://schemas.openxmlformats.org/officeDocument/2006/relationships/hyperlink" Target="https://www.tdk-electronics.tdk.com/download/540222/2eb193d57530c5ad7aef246387fea250/pdf-n92.pdf" TargetMode="External"/><Relationship Id="rId7" Type="http://schemas.openxmlformats.org/officeDocument/2006/relationships/hyperlink" Target="https://www.tdk-electronics.tdk.com/download/540200/07b76833cf9a9f064109a5b937e959ba/pdf-n95.pdf" TargetMode="External"/><Relationship Id="rId8" Type="http://schemas.openxmlformats.org/officeDocument/2006/relationships/hyperlink" Target="https://www.tdk-electronics.tdk.com/download/528886/d28e0ebe7095bcdafa28C3d7d21aa41/pdf-n97.pdf" TargetMode="External"/><Relationship Id="rId9" Type="http://schemas.openxmlformats.org/officeDocument/2006/relationships/hyperlink" Target="https://www.tdk-electronics.tdk.com/download/187212/7c00ae12f80c6674c70addb552287bf6/pdf-n49.pdf" TargetMode="External"/><Relationship Id="rId10" Type="http://schemas.openxmlformats.org/officeDocument/2006/relationships/hyperlink" Target="https://www.tdk-electronics.tdk.com/inf/80/db/fer/etd_39_20_13.pdf" TargetMode="External"/><Relationship Id="rId11" Type="http://schemas.openxmlformats.org/officeDocument/2006/relationships/hyperlink" Target="https://www.tdk-electronics.tdk.com/inf/80/db/fer/e_42_21_20.pdf" TargetMode="External"/><Relationship Id="rId12" Type="http://schemas.openxmlformats.org/officeDocument/2006/relationships/hyperlink" Target="https://www.tdk-electronics.tdk.com/inf/80/db/fer/efd_25_13_9.pdf" TargetMode="External"/><Relationship Id="rId13" Type="http://schemas.openxmlformats.org/officeDocument/2006/relationships/hyperlink" Target="https://www.tdk-electronics.tdk.com/inf/80/db/fer/pq_35_35.pdf" TargetMode="External"/><Relationship Id="rId14" Type="http://schemas.openxmlformats.org/officeDocument/2006/relationships/hyperlink" Target="https://www.tdk-electronics.tdk.com/inf/80/db/fer/rm_10.pdf" TargetMode="External"/><Relationship Id="rId15" Type="http://schemas.openxmlformats.org/officeDocument/2006/relationships/hyperlink" Target="https://www.tdk-electronics.tdk.com/inf/80/db/fer/ep_13.pdf" TargetMode="External"/><Relationship Id="rId16" Type="http://schemas.openxmlformats.org/officeDocument/2006/relationships/hyperlink" Target="https://www.tdk-electronics.tdk.com/inf/80/db/fer/er_11_5.pdf" TargetMode="External"/><Relationship Id="rId17" Type="http://schemas.openxmlformats.org/officeDocument/2006/relationships/hyperlink" Target="https://www.tdk-electronics.tdk.com/inf/80/db/fer/elp_43_10_28.pdf" TargetMode="External"/><Relationship Id="rId18" Type="http://schemas.openxmlformats.org/officeDocument/2006/relationships/hyperlink" Target="https://www.tdk-electronics.tdk.com/inf/80/db/fer/r_40_0_24_0_16_0.pdf" TargetMode="External"/><Relationship Id="rId19" Type="http://schemas.openxmlformats.org/officeDocument/2006/relationships/hyperlink" Target="https://www.tdk-electronics.tdk.com/download/531540/430be22229a60e7a965817fb299b40fb/pdf-materialsaccessories.pdf" TargetMode="External"/><Relationship Id="rId20" Type="http://schemas.openxmlformats.org/officeDocument/2006/relationships/hyperlink" Target="https://www.ferroxcube.com/en-global/ak_material/index/power_conversion" TargetMode="External"/><Relationship Id="rId21" Type="http://schemas.openxmlformats.org/officeDocument/2006/relationships/hyperlink" Target="https://www.ferroxcube.com/en-global/download/download/94" TargetMode="External"/><Relationship Id="rId22" Type="http://schemas.openxmlformats.org/officeDocument/2006/relationships/hyperlink" Target="https://www.ferroxcube.com/en-global/download/download/90" TargetMode="External"/><Relationship Id="rId23" Type="http://schemas.openxmlformats.org/officeDocument/2006/relationships/hyperlink" Target="https://elnamagnetics.com/wp-content/uploads/library/Ferroxcube-Materials/3C90_Material_Specification.pdf" TargetMode="External"/><Relationship Id="rId24" Type="http://schemas.openxmlformats.org/officeDocument/2006/relationships/hyperlink" Target="https://elnamagnetics.com/wp-content/uploads/library/Ferroxcube-Materials/3C94_Material_Specification.pdf" TargetMode="External"/><Relationship Id="rId25" Type="http://schemas.openxmlformats.org/officeDocument/2006/relationships/hyperlink" Target="https://elnamagnetics.com/wp-content/uploads/library/Ferroxcube-Materials/3C95_Material_Specification.pdf" TargetMode="External"/><Relationship Id="rId26" Type="http://schemas.openxmlformats.org/officeDocument/2006/relationships/hyperlink" Target="https://elnamagnetics.com/wp-content/uploads/library/Ferroxcube-Materials/3C97_Material_Specification.pdf" TargetMode="External"/><Relationship Id="rId27" Type="http://schemas.openxmlformats.org/officeDocument/2006/relationships/hyperlink" Target="https://elnamagnetics.com/wp-content/uploads/library/Ferroxcube-Materials/3F3_Material_Specification.pdf" TargetMode="External"/><Relationship Id="rId28" Type="http://schemas.openxmlformats.org/officeDocument/2006/relationships/hyperlink" Target="https://elnamagnetics.com/wp-content/uploads/library/Ferroxcube-Materials/3F36_Material_Specification.pdf" TargetMode="External"/><Relationship Id="rId29" Type="http://schemas.openxmlformats.org/officeDocument/2006/relationships/hyperlink" Target="https://www.mag-inc.com/Media/Magnetics/File-Library/Product%20Literature/Ferrite%20Literature/Magnetics-2022-Ferrite-Catalog.pdf" TargetMode="External"/><Relationship Id="rId30" Type="http://schemas.openxmlformats.org/officeDocument/2006/relationships/hyperlink" Target="https://fair-rite.com/95-material-data-sheet/" TargetMode="External"/><Relationship Id="rId31" Type="http://schemas.openxmlformats.org/officeDocument/2006/relationships/hyperlink" Target="https://fair-rite.com/78-material-data-sheet/" TargetMode="External"/><Relationship Id="rId32" Type="http://schemas.openxmlformats.org/officeDocument/2006/relationships/hyperlink" Target="https://dmegc.de/uploads/20230401/DMR40%20Material%20Characteristics.pdf" TargetMode="External"/><Relationship Id="rId33" Type="http://schemas.openxmlformats.org/officeDocument/2006/relationships/hyperlink" Target="https://dmegc.de/uploads/20230401/DMR44%20Material%20Characteristics.pdf" TargetMode="External"/><Relationship Id="rId34" Type="http://schemas.openxmlformats.org/officeDocument/2006/relationships/hyperlink" Target="https://dmegc.de/uploads/20230401/DMR95%20Material%20Characteristics.pdf" TargetMode="External"/><Relationship Id="rId35" Type="http://schemas.openxmlformats.org/officeDocument/2006/relationships/hyperlink" Target="https://dmegc.de/uploads/20230401/DMR95B%20Material%20Characteristics.pdf" TargetMode="External"/><Relationship Id="rId36" Type="http://schemas.openxmlformats.org/officeDocument/2006/relationships/hyperlink" Target="https://dmegc.de/uploads/20230401/DMR96%20Material%20Characteristics.pdf" TargetMode="External"/><Relationship Id="rId37" Type="http://schemas.openxmlformats.org/officeDocument/2006/relationships/hyperlink" Target="https://dmegc.de/uploads/20230401/DMR51W%20Material%20Characteristics.pdf" TargetMode="External"/><Relationship Id="rId38" Type="http://schemas.openxmlformats.org/officeDocument/2006/relationships/hyperlink" Target="https://dmegc.de/product.php?id=2" TargetMode="External"/><Relationship Id="rId39" Type="http://schemas.openxmlformats.org/officeDocument/2006/relationships/hyperlink" Target="https://www.tdgcore.com/en/technical-support/data-download/" TargetMode="External"/><Relationship Id="rId40" Type="http://schemas.openxmlformats.org/officeDocument/2006/relationships/hyperlink" Target="http://en.ncd.com.cn/product/3.html" TargetMode="External"/><Relationship Id="rId41" Type="http://schemas.openxmlformats.org/officeDocument/2006/relationships/hyperlink" Target="https://www.elektrisola.com/Attachments/TechnicalDataBySize/ELEKTRISOLA_EnCuWire_NEMAmetric_Datasheet_eng.pdf" TargetMode="External"/><Relationship Id="rId42" Type="http://schemas.openxmlformats.org/officeDocument/2006/relationships/hyperlink" Target="https://mwswire.com/wp-content/uploads/2024/01/MWS-copper-magnet-wire-data.pdf" TargetMode="External"/><Relationship Id="rId43" Type="http://schemas.openxmlformats.org/officeDocument/2006/relationships/hyperlink" Target="https://www.furukawaelectric.com/tex-e/en/product/texe_series.html" TargetMode="External"/><Relationship Id="rId44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  <c r="B4" s="4"/>
    </row>
    <row r="5" customFormat="false" ht="15" hidden="false" customHeight="false" outlineLevel="0" collapsed="false">
      <c r="A5" s="3" t="s">
        <v>2</v>
      </c>
      <c r="B5" s="4" t="s">
        <v>3</v>
      </c>
    </row>
    <row r="6" customFormat="false" ht="15" hidden="false" customHeight="false" outlineLevel="0" collapsed="false">
      <c r="A6" s="3"/>
      <c r="B6" s="4" t="s">
        <v>4</v>
      </c>
    </row>
    <row r="7" customFormat="false" ht="15" hidden="false" customHeight="false" outlineLevel="0" collapsed="false">
      <c r="A7" s="3"/>
      <c r="B7" s="4"/>
    </row>
    <row r="8" customFormat="false" ht="15" hidden="false" customHeight="false" outlineLevel="0" collapsed="false">
      <c r="A8" s="5" t="s">
        <v>5</v>
      </c>
      <c r="B8" s="4"/>
    </row>
    <row r="9" customFormat="false" ht="15" hidden="false" customHeight="false" outlineLevel="0" collapsed="false">
      <c r="A9" s="3" t="s">
        <v>6</v>
      </c>
      <c r="B9" s="4" t="s">
        <v>7</v>
      </c>
    </row>
    <row r="10" customFormat="false" ht="15" hidden="false" customHeight="false" outlineLevel="0" collapsed="false">
      <c r="A10" s="3" t="s">
        <v>8</v>
      </c>
      <c r="B10" s="4" t="s">
        <v>9</v>
      </c>
    </row>
    <row r="11" customFormat="false" ht="15" hidden="false" customHeight="false" outlineLevel="0" collapsed="false">
      <c r="A11" s="3" t="s">
        <v>10</v>
      </c>
      <c r="B11" s="4" t="s">
        <v>11</v>
      </c>
    </row>
    <row r="12" customFormat="false" ht="23.85" hidden="false" customHeight="false" outlineLevel="0" collapsed="false">
      <c r="A12" s="3" t="s">
        <v>12</v>
      </c>
      <c r="B12" s="4" t="s">
        <v>13</v>
      </c>
    </row>
    <row r="13" customFormat="false" ht="15" hidden="false" customHeight="false" outlineLevel="0" collapsed="false">
      <c r="A13" s="3" t="s">
        <v>14</v>
      </c>
      <c r="B13" s="4" t="s">
        <v>15</v>
      </c>
    </row>
    <row r="14" customFormat="false" ht="15" hidden="false" customHeight="false" outlineLevel="0" collapsed="false">
      <c r="A14" s="3" t="s">
        <v>16</v>
      </c>
      <c r="B14" s="4" t="s">
        <v>17</v>
      </c>
    </row>
    <row r="15" customFormat="false" ht="15" hidden="false" customHeight="false" outlineLevel="0" collapsed="false">
      <c r="A15" s="3" t="s">
        <v>18</v>
      </c>
      <c r="B15" s="4" t="s">
        <v>19</v>
      </c>
    </row>
    <row r="16" customFormat="false" ht="23.85" hidden="false" customHeight="false" outlineLevel="0" collapsed="false">
      <c r="A16" s="3" t="s">
        <v>20</v>
      </c>
      <c r="B16" s="4" t="s">
        <v>21</v>
      </c>
    </row>
    <row r="17" customFormat="false" ht="15" hidden="false" customHeight="false" outlineLevel="0" collapsed="false">
      <c r="A17" s="3" t="s">
        <v>22</v>
      </c>
      <c r="B17" s="4" t="s">
        <v>23</v>
      </c>
    </row>
    <row r="18" customFormat="false" ht="23.85" hidden="false" customHeight="false" outlineLevel="0" collapsed="false">
      <c r="A18" s="3" t="s">
        <v>24</v>
      </c>
      <c r="B18" s="4" t="s">
        <v>25</v>
      </c>
    </row>
    <row r="19" customFormat="false" ht="15" hidden="false" customHeight="false" outlineLevel="0" collapsed="false">
      <c r="A19" s="3" t="s">
        <v>26</v>
      </c>
      <c r="B19" s="4" t="s">
        <v>27</v>
      </c>
    </row>
    <row r="20" customFormat="false" ht="15" hidden="false" customHeight="false" outlineLevel="0" collapsed="false">
      <c r="A20" s="3"/>
      <c r="B20" s="4"/>
    </row>
    <row r="21" customFormat="false" ht="15" hidden="false" customHeight="false" outlineLevel="0" collapsed="false">
      <c r="A21" s="5" t="s">
        <v>28</v>
      </c>
      <c r="B21" s="4"/>
    </row>
    <row r="22" customFormat="false" ht="15" hidden="false" customHeight="false" outlineLevel="0" collapsed="false">
      <c r="A22" s="3" t="s">
        <v>29</v>
      </c>
      <c r="B22" s="4" t="s">
        <v>30</v>
      </c>
    </row>
    <row r="23" customFormat="false" ht="15" hidden="false" customHeight="false" outlineLevel="0" collapsed="false">
      <c r="A23" s="3" t="s">
        <v>31</v>
      </c>
      <c r="B23" s="4" t="s">
        <v>32</v>
      </c>
    </row>
    <row r="24" customFormat="false" ht="15" hidden="false" customHeight="false" outlineLevel="0" collapsed="false">
      <c r="A24" s="3" t="s">
        <v>33</v>
      </c>
      <c r="B24" s="4" t="s">
        <v>34</v>
      </c>
    </row>
    <row r="25" customFormat="false" ht="15" hidden="false" customHeight="false" outlineLevel="0" collapsed="false">
      <c r="A25" s="3" t="s">
        <v>35</v>
      </c>
      <c r="B25" s="4" t="s">
        <v>36</v>
      </c>
    </row>
    <row r="26" customFormat="false" ht="15" hidden="false" customHeight="false" outlineLevel="0" collapsed="false">
      <c r="A26" s="3" t="s">
        <v>37</v>
      </c>
      <c r="B26" s="4" t="s">
        <v>38</v>
      </c>
    </row>
    <row r="27" customFormat="false" ht="15" hidden="false" customHeight="false" outlineLevel="0" collapsed="false">
      <c r="A27" s="3" t="s">
        <v>39</v>
      </c>
      <c r="B27" s="4" t="s">
        <v>40</v>
      </c>
    </row>
    <row r="28" customFormat="false" ht="15" hidden="false" customHeight="false" outlineLevel="0" collapsed="false">
      <c r="A28" s="3" t="s">
        <v>41</v>
      </c>
      <c r="B28" s="4" t="s">
        <v>42</v>
      </c>
    </row>
    <row r="29" customFormat="false" ht="15" hidden="false" customHeight="false" outlineLevel="0" collapsed="false">
      <c r="A29" s="3" t="s">
        <v>43</v>
      </c>
      <c r="B29" s="4" t="s">
        <v>44</v>
      </c>
    </row>
    <row r="30" customFormat="false" ht="15" hidden="false" customHeight="false" outlineLevel="0" collapsed="false">
      <c r="A30" s="3" t="s">
        <v>45</v>
      </c>
      <c r="B30" s="4" t="s">
        <v>46</v>
      </c>
    </row>
    <row r="31" customFormat="false" ht="15" hidden="false" customHeight="false" outlineLevel="0" collapsed="false">
      <c r="A31" s="3" t="s">
        <v>47</v>
      </c>
      <c r="B31" s="4" t="s">
        <v>48</v>
      </c>
    </row>
    <row r="32" customFormat="false" ht="15" hidden="false" customHeight="false" outlineLevel="0" collapsed="false">
      <c r="A32" s="3"/>
      <c r="B32" s="4"/>
    </row>
    <row r="33" customFormat="false" ht="15" hidden="false" customHeight="false" outlineLevel="0" collapsed="false">
      <c r="A33" s="5" t="s">
        <v>49</v>
      </c>
      <c r="B33" s="4"/>
    </row>
    <row r="34" customFormat="false" ht="23.85" hidden="false" customHeight="false" outlineLevel="0" collapsed="false">
      <c r="A34" s="3" t="s">
        <v>50</v>
      </c>
      <c r="B34" s="4" t="s">
        <v>51</v>
      </c>
    </row>
    <row r="35" customFormat="false" ht="23.85" hidden="false" customHeight="false" outlineLevel="0" collapsed="false">
      <c r="A35" s="3" t="s">
        <v>52</v>
      </c>
      <c r="B35" s="4" t="s">
        <v>53</v>
      </c>
    </row>
    <row r="36" customFormat="false" ht="23.85" hidden="false" customHeight="false" outlineLevel="0" collapsed="false">
      <c r="A36" s="3" t="s">
        <v>54</v>
      </c>
      <c r="B36" s="4" t="s">
        <v>55</v>
      </c>
    </row>
    <row r="37" customFormat="false" ht="15" hidden="false" customHeight="false" outlineLevel="0" collapsed="false">
      <c r="A37" s="3" t="s">
        <v>56</v>
      </c>
      <c r="B37" s="4" t="s">
        <v>57</v>
      </c>
    </row>
    <row r="38" customFormat="false" ht="23.85" hidden="false" customHeight="false" outlineLevel="0" collapsed="false">
      <c r="A38" s="3" t="s">
        <v>58</v>
      </c>
      <c r="B38" s="4" t="s">
        <v>59</v>
      </c>
    </row>
    <row r="39" customFormat="false" ht="15" hidden="false" customHeight="false" outlineLevel="0" collapsed="false">
      <c r="A39" s="3"/>
      <c r="B39" s="4"/>
    </row>
    <row r="40" customFormat="false" ht="15" hidden="false" customHeight="false" outlineLevel="0" collapsed="false">
      <c r="A40" s="5" t="s">
        <v>60</v>
      </c>
      <c r="B40" s="4"/>
    </row>
    <row r="41" customFormat="false" ht="23.85" hidden="false" customHeight="false" outlineLevel="0" collapsed="false">
      <c r="A41" s="3" t="s">
        <v>61</v>
      </c>
      <c r="B41" s="4" t="s">
        <v>62</v>
      </c>
    </row>
    <row r="42" customFormat="false" ht="23.85" hidden="false" customHeight="false" outlineLevel="0" collapsed="false">
      <c r="A42" s="3" t="s">
        <v>63</v>
      </c>
      <c r="B42" s="4" t="s">
        <v>64</v>
      </c>
    </row>
    <row r="43" customFormat="false" ht="23.85" hidden="false" customHeight="false" outlineLevel="0" collapsed="false">
      <c r="A43" s="3" t="s">
        <v>65</v>
      </c>
      <c r="B43" s="4" t="s">
        <v>66</v>
      </c>
    </row>
    <row r="44" customFormat="false" ht="23.85" hidden="false" customHeight="false" outlineLevel="0" collapsed="false">
      <c r="A44" s="3" t="s">
        <v>67</v>
      </c>
      <c r="B44" s="4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8"/>
    <col collapsed="false" customWidth="true" hidden="false" outlineLevel="0" max="13" min="5" style="0" width="9"/>
    <col collapsed="false" customWidth="true" hidden="false" outlineLevel="0" max="14" min="14" style="0" width="30"/>
    <col collapsed="false" customWidth="true" hidden="false" outlineLevel="0" max="15" min="15" style="0" width="18"/>
    <col collapsed="false" customWidth="true" hidden="false" outlineLevel="0" max="16" min="16" style="0" width="46"/>
    <col collapsed="false" customWidth="true" hidden="false" outlineLevel="0" max="17" min="17" style="0" width="11"/>
  </cols>
  <sheetData>
    <row r="1" customFormat="false" ht="19.5" hidden="false" customHeight="true" outlineLevel="0" collapsed="false">
      <c r="A1" s="6" t="s">
        <v>69</v>
      </c>
    </row>
    <row r="2" customFormat="false" ht="15" hidden="false" customHeight="false" outlineLevel="0" collapsed="false">
      <c r="A2" s="2" t="s">
        <v>70</v>
      </c>
    </row>
    <row r="4" customFormat="false" ht="33.75" hidden="false" customHeight="true" outlineLevel="0" collapsed="false">
      <c r="A4" s="7" t="s">
        <v>71</v>
      </c>
      <c r="B4" s="7" t="s">
        <v>72</v>
      </c>
      <c r="C4" s="7" t="s">
        <v>73</v>
      </c>
      <c r="D4" s="7" t="s">
        <v>74</v>
      </c>
      <c r="E4" s="7" t="s">
        <v>75</v>
      </c>
      <c r="F4" s="7" t="s">
        <v>76</v>
      </c>
      <c r="G4" s="7" t="s">
        <v>77</v>
      </c>
      <c r="H4" s="7" t="s">
        <v>78</v>
      </c>
      <c r="I4" s="7" t="s">
        <v>79</v>
      </c>
      <c r="J4" s="7" t="s">
        <v>80</v>
      </c>
      <c r="K4" s="7" t="s">
        <v>81</v>
      </c>
      <c r="L4" s="7" t="s">
        <v>82</v>
      </c>
      <c r="M4" s="7" t="s">
        <v>83</v>
      </c>
      <c r="N4" s="7" t="s">
        <v>84</v>
      </c>
      <c r="O4" s="7" t="s">
        <v>85</v>
      </c>
      <c r="P4" s="7" t="s">
        <v>86</v>
      </c>
      <c r="Q4" s="7" t="s">
        <v>87</v>
      </c>
    </row>
    <row r="5" customFormat="false" ht="15" hidden="false" customHeight="false" outlineLevel="0" collapsed="false">
      <c r="A5" s="8" t="s">
        <v>88</v>
      </c>
      <c r="B5" s="8" t="s">
        <v>89</v>
      </c>
      <c r="C5" s="8" t="s">
        <v>90</v>
      </c>
      <c r="D5" s="8" t="n">
        <v>2300</v>
      </c>
      <c r="E5" s="8" t="n">
        <v>500</v>
      </c>
      <c r="F5" s="8" t="n">
        <v>380</v>
      </c>
      <c r="G5" s="8"/>
      <c r="H5" s="8"/>
      <c r="I5" s="8"/>
      <c r="J5" s="8" t="s">
        <v>91</v>
      </c>
      <c r="K5" s="8"/>
      <c r="L5" s="8" t="s">
        <v>92</v>
      </c>
      <c r="M5" s="8" t="n">
        <v>670</v>
      </c>
      <c r="N5" s="8" t="s">
        <v>93</v>
      </c>
      <c r="O5" s="8" t="s">
        <v>94</v>
      </c>
      <c r="P5" s="8" t="s">
        <v>95</v>
      </c>
      <c r="Q5" s="9" t="s">
        <v>96</v>
      </c>
    </row>
    <row r="6" customFormat="false" ht="15" hidden="false" customHeight="false" outlineLevel="0" collapsed="false">
      <c r="A6" s="8" t="s">
        <v>88</v>
      </c>
      <c r="B6" s="8" t="s">
        <v>97</v>
      </c>
      <c r="C6" s="8" t="s">
        <v>90</v>
      </c>
      <c r="D6" s="8" t="n">
        <v>2400</v>
      </c>
      <c r="E6" s="8" t="n">
        <v>510</v>
      </c>
      <c r="F6" s="8" t="n">
        <v>400</v>
      </c>
      <c r="G6" s="8"/>
      <c r="H6" s="8"/>
      <c r="I6" s="8"/>
      <c r="J6" s="8" t="s">
        <v>98</v>
      </c>
      <c r="K6" s="8"/>
      <c r="L6" s="8" t="s">
        <v>92</v>
      </c>
      <c r="M6" s="8" t="n">
        <v>620</v>
      </c>
      <c r="N6" s="8" t="s">
        <v>93</v>
      </c>
      <c r="O6" s="8" t="s">
        <v>99</v>
      </c>
      <c r="P6" s="8" t="s">
        <v>100</v>
      </c>
      <c r="Q6" s="9" t="s">
        <v>96</v>
      </c>
    </row>
    <row r="7" customFormat="false" ht="15" hidden="false" customHeight="false" outlineLevel="0" collapsed="false">
      <c r="A7" s="8" t="s">
        <v>88</v>
      </c>
      <c r="B7" s="8" t="s">
        <v>101</v>
      </c>
      <c r="C7" s="8" t="s">
        <v>90</v>
      </c>
      <c r="D7" s="8" t="n">
        <v>2500</v>
      </c>
      <c r="E7" s="8" t="n">
        <v>530</v>
      </c>
      <c r="F7" s="8" t="n">
        <v>420</v>
      </c>
      <c r="G7" s="8"/>
      <c r="H7" s="8"/>
      <c r="I7" s="8"/>
      <c r="J7" s="8" t="s">
        <v>102</v>
      </c>
      <c r="K7" s="8"/>
      <c r="L7" s="8" t="s">
        <v>92</v>
      </c>
      <c r="M7" s="8" t="n">
        <v>600</v>
      </c>
      <c r="N7" s="8" t="s">
        <v>93</v>
      </c>
      <c r="O7" s="8" t="s">
        <v>99</v>
      </c>
      <c r="P7" s="8" t="s">
        <v>103</v>
      </c>
      <c r="Q7" s="9" t="s">
        <v>96</v>
      </c>
    </row>
    <row r="8" customFormat="false" ht="15" hidden="false" customHeight="false" outlineLevel="0" collapsed="false">
      <c r="A8" s="8" t="s">
        <v>88</v>
      </c>
      <c r="B8" s="8" t="s">
        <v>104</v>
      </c>
      <c r="C8" s="8" t="s">
        <v>90</v>
      </c>
      <c r="D8" s="8" t="n">
        <v>2600</v>
      </c>
      <c r="E8" s="8" t="n">
        <v>530</v>
      </c>
      <c r="F8" s="8" t="n">
        <v>420</v>
      </c>
      <c r="G8" s="8"/>
      <c r="H8" s="8"/>
      <c r="I8" s="8"/>
      <c r="J8" s="8" t="s">
        <v>102</v>
      </c>
      <c r="K8" s="8"/>
      <c r="L8" s="8" t="s">
        <v>92</v>
      </c>
      <c r="M8" s="8" t="n">
        <v>530</v>
      </c>
      <c r="N8" s="8" t="s">
        <v>93</v>
      </c>
      <c r="O8" s="8" t="s">
        <v>99</v>
      </c>
      <c r="P8" s="8" t="s">
        <v>105</v>
      </c>
      <c r="Q8" s="9" t="s">
        <v>96</v>
      </c>
    </row>
    <row r="9" customFormat="false" ht="15" hidden="false" customHeight="false" outlineLevel="0" collapsed="false">
      <c r="A9" s="8" t="s">
        <v>88</v>
      </c>
      <c r="B9" s="8" t="s">
        <v>106</v>
      </c>
      <c r="C9" s="8" t="s">
        <v>107</v>
      </c>
      <c r="D9" s="8" t="n">
        <v>3300</v>
      </c>
      <c r="E9" s="8" t="n">
        <v>530</v>
      </c>
      <c r="F9" s="8" t="n">
        <v>410</v>
      </c>
      <c r="G9" s="8" t="n">
        <v>85</v>
      </c>
      <c r="H9" s="8" t="n">
        <v>9</v>
      </c>
      <c r="I9" s="8"/>
      <c r="J9" s="8" t="s">
        <v>98</v>
      </c>
      <c r="K9" s="8"/>
      <c r="L9" s="8" t="s">
        <v>108</v>
      </c>
      <c r="M9" s="8" t="n">
        <v>350</v>
      </c>
      <c r="N9" s="8" t="s">
        <v>93</v>
      </c>
      <c r="O9" s="8" t="s">
        <v>99</v>
      </c>
      <c r="P9" s="8" t="s">
        <v>109</v>
      </c>
      <c r="Q9" s="9" t="s">
        <v>96</v>
      </c>
    </row>
    <row r="10" customFormat="false" ht="15" hidden="false" customHeight="false" outlineLevel="0" collapsed="false">
      <c r="A10" s="8" t="s">
        <v>88</v>
      </c>
      <c r="B10" s="8" t="s">
        <v>110</v>
      </c>
      <c r="C10" s="8" t="s">
        <v>111</v>
      </c>
      <c r="D10" s="8" t="n">
        <v>4100</v>
      </c>
      <c r="E10" s="8" t="n">
        <v>500</v>
      </c>
      <c r="F10" s="8" t="n">
        <v>370</v>
      </c>
      <c r="G10" s="8"/>
      <c r="H10" s="8"/>
      <c r="I10" s="8"/>
      <c r="J10" s="8" t="s">
        <v>112</v>
      </c>
      <c r="K10" s="8"/>
      <c r="L10" s="8" t="s">
        <v>92</v>
      </c>
      <c r="M10" s="8" t="n">
        <v>250</v>
      </c>
      <c r="N10" s="8" t="s">
        <v>93</v>
      </c>
      <c r="O10" s="8" t="s">
        <v>99</v>
      </c>
      <c r="P10" s="8" t="s">
        <v>113</v>
      </c>
      <c r="Q10" s="9" t="s">
        <v>96</v>
      </c>
    </row>
    <row r="11" customFormat="false" ht="15" hidden="false" customHeight="false" outlineLevel="0" collapsed="false">
      <c r="A11" s="8" t="s">
        <v>88</v>
      </c>
      <c r="B11" s="8" t="s">
        <v>114</v>
      </c>
      <c r="C11" s="8" t="s">
        <v>90</v>
      </c>
      <c r="D11" s="8" t="n">
        <v>2900</v>
      </c>
      <c r="E11" s="8" t="n">
        <v>520</v>
      </c>
      <c r="F11" s="8" t="n">
        <v>410</v>
      </c>
      <c r="G11" s="8"/>
      <c r="H11" s="8"/>
      <c r="I11" s="8"/>
      <c r="J11" s="8" t="s">
        <v>115</v>
      </c>
      <c r="K11" s="8"/>
      <c r="L11" s="8" t="s">
        <v>92</v>
      </c>
      <c r="M11" s="8" t="n">
        <v>440</v>
      </c>
      <c r="N11" s="8" t="s">
        <v>93</v>
      </c>
      <c r="O11" s="8" t="s">
        <v>99</v>
      </c>
      <c r="P11" s="8" t="s">
        <v>116</v>
      </c>
      <c r="Q11" s="9" t="s">
        <v>96</v>
      </c>
    </row>
    <row r="12" customFormat="false" ht="15" hidden="false" customHeight="false" outlineLevel="0" collapsed="false">
      <c r="A12" s="8" t="s">
        <v>88</v>
      </c>
      <c r="B12" s="8" t="s">
        <v>117</v>
      </c>
      <c r="C12" s="8" t="s">
        <v>90</v>
      </c>
      <c r="D12" s="8" t="n">
        <v>2400</v>
      </c>
      <c r="E12" s="8" t="n">
        <v>520</v>
      </c>
      <c r="F12" s="8" t="n">
        <v>410</v>
      </c>
      <c r="G12" s="8"/>
      <c r="H12" s="8"/>
      <c r="I12" s="8"/>
      <c r="J12" s="8" t="s">
        <v>115</v>
      </c>
      <c r="K12" s="8"/>
      <c r="L12" s="8" t="s">
        <v>92</v>
      </c>
      <c r="M12" s="8" t="n">
        <v>550</v>
      </c>
      <c r="N12" s="8" t="s">
        <v>93</v>
      </c>
      <c r="O12" s="8" t="s">
        <v>99</v>
      </c>
      <c r="P12" s="8" t="s">
        <v>118</v>
      </c>
      <c r="Q12" s="9" t="s">
        <v>96</v>
      </c>
    </row>
    <row r="13" customFormat="false" ht="15" hidden="false" customHeight="false" outlineLevel="0" collapsed="false">
      <c r="A13" s="8" t="s">
        <v>88</v>
      </c>
      <c r="B13" s="8" t="s">
        <v>119</v>
      </c>
      <c r="C13" s="8" t="s">
        <v>120</v>
      </c>
      <c r="D13" s="8" t="n">
        <v>1400</v>
      </c>
      <c r="E13" s="8" t="n">
        <v>530</v>
      </c>
      <c r="F13" s="8" t="n">
        <v>455</v>
      </c>
      <c r="G13" s="8"/>
      <c r="H13" s="8"/>
      <c r="I13" s="8"/>
      <c r="J13" s="8" t="s">
        <v>121</v>
      </c>
      <c r="K13" s="8"/>
      <c r="L13" s="8" t="s">
        <v>92</v>
      </c>
      <c r="M13" s="8" t="n">
        <v>1250</v>
      </c>
      <c r="N13" s="8" t="s">
        <v>122</v>
      </c>
      <c r="O13" s="8" t="s">
        <v>99</v>
      </c>
      <c r="P13" s="8" t="s">
        <v>123</v>
      </c>
      <c r="Q13" s="9" t="s">
        <v>96</v>
      </c>
    </row>
    <row r="14" customFormat="false" ht="15" hidden="false" customHeight="false" outlineLevel="0" collapsed="false">
      <c r="A14" s="8" t="s">
        <v>88</v>
      </c>
      <c r="B14" s="8" t="s">
        <v>124</v>
      </c>
      <c r="C14" s="8" t="s">
        <v>120</v>
      </c>
      <c r="D14" s="8" t="n">
        <v>2200</v>
      </c>
      <c r="E14" s="8" t="n">
        <v>540</v>
      </c>
      <c r="F14" s="8" t="n">
        <v>450</v>
      </c>
      <c r="G14" s="8"/>
      <c r="H14" s="8"/>
      <c r="I14" s="8"/>
      <c r="J14" s="8" t="s">
        <v>125</v>
      </c>
      <c r="K14" s="8"/>
      <c r="L14" s="8" t="s">
        <v>92</v>
      </c>
      <c r="M14" s="8" t="n">
        <v>680</v>
      </c>
      <c r="N14" s="8" t="s">
        <v>122</v>
      </c>
      <c r="O14" s="8" t="s">
        <v>99</v>
      </c>
      <c r="P14" s="8" t="s">
        <v>126</v>
      </c>
      <c r="Q14" s="9" t="s">
        <v>96</v>
      </c>
    </row>
    <row r="15" customFormat="false" ht="15" hidden="false" customHeight="false" outlineLevel="0" collapsed="false">
      <c r="A15" s="8" t="s">
        <v>88</v>
      </c>
      <c r="B15" s="8" t="s">
        <v>127</v>
      </c>
      <c r="C15" s="8" t="s">
        <v>120</v>
      </c>
      <c r="D15" s="8" t="n">
        <v>2000</v>
      </c>
      <c r="E15" s="8" t="n">
        <v>530</v>
      </c>
      <c r="F15" s="8" t="n">
        <v>440</v>
      </c>
      <c r="G15" s="8"/>
      <c r="H15" s="8"/>
      <c r="I15" s="8"/>
      <c r="J15" s="8" t="s">
        <v>128</v>
      </c>
      <c r="K15" s="8"/>
      <c r="L15" s="8" t="s">
        <v>92</v>
      </c>
      <c r="M15" s="8" t="n">
        <v>700</v>
      </c>
      <c r="N15" s="8" t="s">
        <v>122</v>
      </c>
      <c r="O15" s="8" t="s">
        <v>99</v>
      </c>
      <c r="P15" s="8" t="s">
        <v>129</v>
      </c>
      <c r="Q15" s="9" t="s">
        <v>96</v>
      </c>
    </row>
    <row r="16" customFormat="false" ht="15" hidden="false" customHeight="false" outlineLevel="0" collapsed="false">
      <c r="A16" s="8" t="s">
        <v>88</v>
      </c>
      <c r="B16" s="8" t="s">
        <v>130</v>
      </c>
      <c r="C16" s="8" t="s">
        <v>131</v>
      </c>
      <c r="D16" s="8" t="n">
        <v>1400</v>
      </c>
      <c r="E16" s="8" t="n">
        <v>470</v>
      </c>
      <c r="F16" s="8"/>
      <c r="G16" s="8"/>
      <c r="H16" s="8"/>
      <c r="I16" s="8"/>
      <c r="J16" s="8" t="s">
        <v>128</v>
      </c>
      <c r="K16" s="8"/>
      <c r="L16" s="8" t="s">
        <v>92</v>
      </c>
      <c r="M16" s="8" t="n">
        <v>130</v>
      </c>
      <c r="N16" s="8" t="s">
        <v>122</v>
      </c>
      <c r="O16" s="8" t="s">
        <v>132</v>
      </c>
      <c r="P16" s="8" t="s">
        <v>133</v>
      </c>
      <c r="Q16" s="9" t="s">
        <v>96</v>
      </c>
    </row>
    <row r="17" customFormat="false" ht="15" hidden="false" customHeight="false" outlineLevel="0" collapsed="false">
      <c r="A17" s="8" t="s">
        <v>88</v>
      </c>
      <c r="B17" s="8" t="s">
        <v>134</v>
      </c>
      <c r="C17" s="8" t="s">
        <v>131</v>
      </c>
      <c r="D17" s="8" t="n">
        <v>1400</v>
      </c>
      <c r="E17" s="8" t="n">
        <v>460</v>
      </c>
      <c r="F17" s="8"/>
      <c r="G17" s="8"/>
      <c r="H17" s="8"/>
      <c r="I17" s="8"/>
      <c r="J17" s="8" t="s">
        <v>102</v>
      </c>
      <c r="K17" s="8"/>
      <c r="L17" s="8" t="s">
        <v>92</v>
      </c>
      <c r="M17" s="8" t="n">
        <v>100</v>
      </c>
      <c r="N17" s="8" t="s">
        <v>122</v>
      </c>
      <c r="O17" s="8" t="s">
        <v>132</v>
      </c>
      <c r="P17" s="8" t="s">
        <v>135</v>
      </c>
      <c r="Q17" s="9" t="s">
        <v>96</v>
      </c>
    </row>
    <row r="18" customFormat="false" ht="15" hidden="false" customHeight="false" outlineLevel="0" collapsed="false">
      <c r="A18" s="8" t="s">
        <v>88</v>
      </c>
      <c r="B18" s="8" t="s">
        <v>136</v>
      </c>
      <c r="C18" s="8" t="s">
        <v>137</v>
      </c>
      <c r="D18" s="8" t="n">
        <v>800</v>
      </c>
      <c r="E18" s="8" t="n">
        <v>480</v>
      </c>
      <c r="F18" s="8"/>
      <c r="G18" s="8"/>
      <c r="H18" s="8"/>
      <c r="I18" s="8"/>
      <c r="J18" s="8" t="s">
        <v>138</v>
      </c>
      <c r="K18" s="8"/>
      <c r="L18" s="8" t="s">
        <v>92</v>
      </c>
      <c r="M18" s="8" t="n">
        <v>60</v>
      </c>
      <c r="N18" s="8" t="s">
        <v>122</v>
      </c>
      <c r="O18" s="8" t="s">
        <v>139</v>
      </c>
      <c r="P18" s="8" t="s">
        <v>140</v>
      </c>
      <c r="Q18" s="9" t="s">
        <v>96</v>
      </c>
    </row>
    <row r="19" customFormat="false" ht="15" hidden="false" customHeight="false" outlineLevel="0" collapsed="false">
      <c r="A19" s="8" t="s">
        <v>88</v>
      </c>
      <c r="B19" s="8" t="s">
        <v>141</v>
      </c>
      <c r="C19" s="8" t="s">
        <v>142</v>
      </c>
      <c r="D19" s="8" t="n">
        <v>4200</v>
      </c>
      <c r="E19" s="8" t="n">
        <v>470</v>
      </c>
      <c r="F19" s="8"/>
      <c r="G19" s="8"/>
      <c r="H19" s="8"/>
      <c r="I19" s="8"/>
      <c r="J19" s="8" t="s">
        <v>143</v>
      </c>
      <c r="K19" s="8"/>
      <c r="L19" s="8" t="s">
        <v>92</v>
      </c>
      <c r="M19" s="8"/>
      <c r="N19" s="8"/>
      <c r="O19" s="8" t="s">
        <v>144</v>
      </c>
      <c r="P19" s="8" t="s">
        <v>145</v>
      </c>
      <c r="Q19" s="9" t="s">
        <v>96</v>
      </c>
    </row>
    <row r="20" customFormat="false" ht="15" hidden="false" customHeight="false" outlineLevel="0" collapsed="false">
      <c r="A20" s="8" t="s">
        <v>88</v>
      </c>
      <c r="B20" s="8" t="s">
        <v>146</v>
      </c>
      <c r="C20" s="8" t="s">
        <v>142</v>
      </c>
      <c r="D20" s="8" t="n">
        <v>7500</v>
      </c>
      <c r="E20" s="8" t="n">
        <v>430</v>
      </c>
      <c r="F20" s="8"/>
      <c r="G20" s="8"/>
      <c r="H20" s="8"/>
      <c r="I20" s="8"/>
      <c r="J20" s="8" t="s">
        <v>147</v>
      </c>
      <c r="K20" s="8"/>
      <c r="L20" s="8" t="s">
        <v>92</v>
      </c>
      <c r="M20" s="8"/>
      <c r="N20" s="8"/>
      <c r="O20" s="8" t="s">
        <v>99</v>
      </c>
      <c r="P20" s="8" t="s">
        <v>148</v>
      </c>
      <c r="Q20" s="9" t="s">
        <v>96</v>
      </c>
    </row>
    <row r="21" customFormat="false" ht="15" hidden="false" customHeight="false" outlineLevel="0" collapsed="false">
      <c r="A21" s="8" t="s">
        <v>88</v>
      </c>
      <c r="B21" s="8" t="s">
        <v>149</v>
      </c>
      <c r="C21" s="8" t="s">
        <v>142</v>
      </c>
      <c r="D21" s="8" t="n">
        <v>10000</v>
      </c>
      <c r="E21" s="8" t="n">
        <v>400</v>
      </c>
      <c r="F21" s="8"/>
      <c r="G21" s="8"/>
      <c r="H21" s="8"/>
      <c r="I21" s="8"/>
      <c r="J21" s="8" t="s">
        <v>150</v>
      </c>
      <c r="K21" s="8"/>
      <c r="L21" s="8" t="s">
        <v>92</v>
      </c>
      <c r="M21" s="8"/>
      <c r="N21" s="8"/>
      <c r="O21" s="8" t="s">
        <v>94</v>
      </c>
      <c r="P21" s="8" t="s">
        <v>151</v>
      </c>
      <c r="Q21" s="9" t="s">
        <v>96</v>
      </c>
    </row>
    <row r="22" customFormat="false" ht="15" hidden="false" customHeight="false" outlineLevel="0" collapsed="false">
      <c r="A22" s="8" t="s">
        <v>88</v>
      </c>
      <c r="B22" s="8" t="s">
        <v>152</v>
      </c>
      <c r="C22" s="8" t="s">
        <v>153</v>
      </c>
      <c r="D22" s="8" t="n">
        <v>5000</v>
      </c>
      <c r="E22" s="8" t="n">
        <v>470</v>
      </c>
      <c r="F22" s="8"/>
      <c r="G22" s="8"/>
      <c r="H22" s="8"/>
      <c r="I22" s="8"/>
      <c r="J22" s="8" t="s">
        <v>154</v>
      </c>
      <c r="K22" s="8"/>
      <c r="L22" s="8" t="s">
        <v>92</v>
      </c>
      <c r="M22" s="8"/>
      <c r="N22" s="8"/>
      <c r="O22" s="8" t="s">
        <v>155</v>
      </c>
      <c r="P22" s="8" t="s">
        <v>156</v>
      </c>
      <c r="Q22" s="9" t="s">
        <v>96</v>
      </c>
    </row>
    <row r="23" customFormat="false" ht="15" hidden="false" customHeight="false" outlineLevel="0" collapsed="false">
      <c r="A23" s="8" t="s">
        <v>88</v>
      </c>
      <c r="B23" s="8" t="s">
        <v>157</v>
      </c>
      <c r="C23" s="8" t="s">
        <v>153</v>
      </c>
      <c r="D23" s="8" t="n">
        <v>1600</v>
      </c>
      <c r="E23" s="8" t="n">
        <v>410</v>
      </c>
      <c r="F23" s="8"/>
      <c r="G23" s="8"/>
      <c r="H23" s="8"/>
      <c r="I23" s="8"/>
      <c r="J23" s="8" t="s">
        <v>147</v>
      </c>
      <c r="K23" s="8"/>
      <c r="L23" s="8" t="s">
        <v>92</v>
      </c>
      <c r="M23" s="8"/>
      <c r="N23" s="8"/>
      <c r="O23" s="8" t="s">
        <v>158</v>
      </c>
      <c r="P23" s="8" t="s">
        <v>156</v>
      </c>
      <c r="Q23" s="9" t="s">
        <v>96</v>
      </c>
    </row>
    <row r="24" customFormat="false" ht="15" hidden="false" customHeight="false" outlineLevel="0" collapsed="false">
      <c r="A24" s="8" t="s">
        <v>159</v>
      </c>
      <c r="B24" s="8" t="s">
        <v>160</v>
      </c>
      <c r="C24" s="8" t="s">
        <v>90</v>
      </c>
      <c r="D24" s="8" t="n">
        <v>2000</v>
      </c>
      <c r="E24" s="8" t="n">
        <v>500</v>
      </c>
      <c r="F24" s="8" t="n">
        <v>410</v>
      </c>
      <c r="G24" s="8"/>
      <c r="H24" s="8" t="n">
        <v>23</v>
      </c>
      <c r="I24" s="8" t="n">
        <v>19</v>
      </c>
      <c r="J24" s="8" t="s">
        <v>161</v>
      </c>
      <c r="K24" s="8" t="n">
        <v>3</v>
      </c>
      <c r="L24" s="8" t="s">
        <v>162</v>
      </c>
      <c r="M24" s="8" t="n">
        <v>920</v>
      </c>
      <c r="N24" s="8" t="s">
        <v>163</v>
      </c>
      <c r="O24" s="8" t="s">
        <v>164</v>
      </c>
      <c r="P24" s="8" t="s">
        <v>165</v>
      </c>
      <c r="Q24" s="9" t="s">
        <v>96</v>
      </c>
    </row>
    <row r="25" customFormat="false" ht="15" hidden="false" customHeight="false" outlineLevel="0" collapsed="false">
      <c r="A25" s="8" t="s">
        <v>159</v>
      </c>
      <c r="B25" s="8" t="s">
        <v>166</v>
      </c>
      <c r="C25" s="8" t="s">
        <v>90</v>
      </c>
      <c r="D25" s="8" t="n">
        <v>2200</v>
      </c>
      <c r="E25" s="8" t="n">
        <v>490</v>
      </c>
      <c r="F25" s="8" t="n">
        <v>390</v>
      </c>
      <c r="G25" s="8"/>
      <c r="H25" s="8" t="n">
        <v>21</v>
      </c>
      <c r="I25" s="8" t="n">
        <v>13</v>
      </c>
      <c r="J25" s="8" t="s">
        <v>115</v>
      </c>
      <c r="K25" s="8" t="n">
        <v>10</v>
      </c>
      <c r="L25" s="8" t="s">
        <v>167</v>
      </c>
      <c r="M25" s="8" t="n">
        <v>375</v>
      </c>
      <c r="N25" s="8" t="s">
        <v>163</v>
      </c>
      <c r="O25" s="8" t="s">
        <v>168</v>
      </c>
      <c r="P25" s="8" t="s">
        <v>169</v>
      </c>
      <c r="Q25" s="9" t="s">
        <v>96</v>
      </c>
    </row>
    <row r="26" customFormat="false" ht="15" hidden="false" customHeight="false" outlineLevel="0" collapsed="false">
      <c r="A26" s="8" t="s">
        <v>159</v>
      </c>
      <c r="B26" s="8" t="s">
        <v>170</v>
      </c>
      <c r="C26" s="8" t="s">
        <v>171</v>
      </c>
      <c r="D26" s="8" t="n">
        <v>1600</v>
      </c>
      <c r="E26" s="8" t="n">
        <v>510</v>
      </c>
      <c r="F26" s="8" t="n">
        <v>430</v>
      </c>
      <c r="G26" s="8"/>
      <c r="H26" s="8" t="n">
        <v>15</v>
      </c>
      <c r="I26" s="8" t="n">
        <v>4</v>
      </c>
      <c r="J26" s="8" t="s">
        <v>172</v>
      </c>
      <c r="K26" s="8" t="n">
        <v>14</v>
      </c>
      <c r="L26" s="8" t="s">
        <v>167</v>
      </c>
      <c r="M26" s="8" t="n">
        <v>430</v>
      </c>
      <c r="N26" s="8" t="s">
        <v>163</v>
      </c>
      <c r="O26" s="8" t="s">
        <v>168</v>
      </c>
      <c r="P26" s="8" t="s">
        <v>173</v>
      </c>
      <c r="Q26" s="9" t="s">
        <v>96</v>
      </c>
    </row>
    <row r="27" customFormat="false" ht="15" hidden="false" customHeight="false" outlineLevel="0" collapsed="false">
      <c r="A27" s="8" t="s">
        <v>159</v>
      </c>
      <c r="B27" s="8" t="s">
        <v>174</v>
      </c>
      <c r="C27" s="8" t="s">
        <v>120</v>
      </c>
      <c r="D27" s="8" t="n">
        <v>1500</v>
      </c>
      <c r="E27" s="8" t="n">
        <v>500</v>
      </c>
      <c r="F27" s="8" t="n">
        <v>440</v>
      </c>
      <c r="G27" s="8"/>
      <c r="H27" s="8" t="n">
        <v>24</v>
      </c>
      <c r="I27" s="8" t="n">
        <v>13</v>
      </c>
      <c r="J27" s="8" t="s">
        <v>138</v>
      </c>
      <c r="K27" s="8" t="n">
        <v>8</v>
      </c>
      <c r="L27" s="8" t="s">
        <v>167</v>
      </c>
      <c r="M27" s="8" t="n">
        <v>410</v>
      </c>
      <c r="N27" s="8" t="s">
        <v>163</v>
      </c>
      <c r="O27" s="8" t="s">
        <v>168</v>
      </c>
      <c r="P27" s="8" t="s">
        <v>175</v>
      </c>
      <c r="Q27" s="9" t="s">
        <v>96</v>
      </c>
    </row>
    <row r="28" customFormat="false" ht="15" hidden="false" customHeight="false" outlineLevel="0" collapsed="false">
      <c r="A28" s="8" t="s">
        <v>159</v>
      </c>
      <c r="B28" s="8" t="s">
        <v>176</v>
      </c>
      <c r="C28" s="8" t="s">
        <v>107</v>
      </c>
      <c r="D28" s="8" t="n">
        <v>3000</v>
      </c>
      <c r="E28" s="8" t="n">
        <v>525</v>
      </c>
      <c r="F28" s="8" t="n">
        <v>410</v>
      </c>
      <c r="G28" s="8"/>
      <c r="H28" s="8" t="n">
        <v>18</v>
      </c>
      <c r="I28" s="8" t="n">
        <v>19</v>
      </c>
      <c r="J28" s="8" t="s">
        <v>161</v>
      </c>
      <c r="K28" s="8" t="n">
        <v>6</v>
      </c>
      <c r="L28" s="8" t="s">
        <v>177</v>
      </c>
      <c r="M28" s="8" t="n">
        <v>350</v>
      </c>
      <c r="N28" s="8" t="s">
        <v>163</v>
      </c>
      <c r="O28" s="8" t="s">
        <v>168</v>
      </c>
      <c r="P28" s="8" t="s">
        <v>178</v>
      </c>
      <c r="Q28" s="9" t="s">
        <v>96</v>
      </c>
    </row>
    <row r="29" customFormat="false" ht="15" hidden="false" customHeight="false" outlineLevel="0" collapsed="false">
      <c r="A29" s="8" t="s">
        <v>159</v>
      </c>
      <c r="B29" s="8" t="s">
        <v>179</v>
      </c>
      <c r="C29" s="8" t="s">
        <v>90</v>
      </c>
      <c r="D29" s="8" t="n">
        <v>2300</v>
      </c>
      <c r="E29" s="8" t="n">
        <v>510</v>
      </c>
      <c r="F29" s="8" t="n">
        <v>410</v>
      </c>
      <c r="G29" s="8"/>
      <c r="H29" s="8" t="n">
        <v>21</v>
      </c>
      <c r="I29" s="8" t="n">
        <v>12</v>
      </c>
      <c r="J29" s="8" t="s">
        <v>102</v>
      </c>
      <c r="K29" s="8" t="n">
        <v>8</v>
      </c>
      <c r="L29" s="8" t="s">
        <v>167</v>
      </c>
      <c r="M29" s="8" t="n">
        <v>300</v>
      </c>
      <c r="N29" s="8" t="s">
        <v>163</v>
      </c>
      <c r="O29" s="8" t="s">
        <v>168</v>
      </c>
      <c r="P29" s="8" t="s">
        <v>180</v>
      </c>
      <c r="Q29" s="9" t="s">
        <v>96</v>
      </c>
    </row>
    <row r="30" customFormat="false" ht="15" hidden="false" customHeight="false" outlineLevel="0" collapsed="false">
      <c r="A30" s="8" t="s">
        <v>159</v>
      </c>
      <c r="B30" s="8" t="s">
        <v>181</v>
      </c>
      <c r="C30" s="8" t="s">
        <v>131</v>
      </c>
      <c r="D30" s="8" t="n">
        <v>1500</v>
      </c>
      <c r="E30" s="8" t="n">
        <v>490</v>
      </c>
      <c r="F30" s="8" t="n">
        <v>400</v>
      </c>
      <c r="G30" s="8"/>
      <c r="H30" s="8" t="n">
        <v>38</v>
      </c>
      <c r="I30" s="8" t="n">
        <v>33</v>
      </c>
      <c r="J30" s="8" t="s">
        <v>128</v>
      </c>
      <c r="K30" s="8" t="n">
        <v>17</v>
      </c>
      <c r="L30" s="8" t="s">
        <v>182</v>
      </c>
      <c r="M30" s="8" t="n">
        <v>80</v>
      </c>
      <c r="N30" s="8" t="s">
        <v>183</v>
      </c>
      <c r="O30" s="8" t="s">
        <v>184</v>
      </c>
      <c r="P30" s="8" t="s">
        <v>185</v>
      </c>
      <c r="Q30" s="9" t="s">
        <v>96</v>
      </c>
    </row>
    <row r="31" customFormat="false" ht="15" hidden="false" customHeight="false" outlineLevel="0" collapsed="false">
      <c r="A31" s="8" t="s">
        <v>186</v>
      </c>
      <c r="B31" s="8" t="s">
        <v>187</v>
      </c>
      <c r="C31" s="8" t="s">
        <v>90</v>
      </c>
      <c r="D31" s="8" t="n">
        <v>2300</v>
      </c>
      <c r="E31" s="8" t="n">
        <v>470</v>
      </c>
      <c r="F31" s="8" t="n">
        <v>380</v>
      </c>
      <c r="G31" s="8"/>
      <c r="H31" s="8"/>
      <c r="I31" s="8"/>
      <c r="J31" s="8" t="s">
        <v>188</v>
      </c>
      <c r="K31" s="8" t="n">
        <v>5</v>
      </c>
      <c r="L31" s="8" t="s">
        <v>162</v>
      </c>
      <c r="M31" s="8" t="n">
        <v>450</v>
      </c>
      <c r="N31" s="8" t="s">
        <v>163</v>
      </c>
      <c r="O31" s="8" t="s">
        <v>189</v>
      </c>
      <c r="P31" s="8" t="s">
        <v>190</v>
      </c>
      <c r="Q31" s="9" t="s">
        <v>96</v>
      </c>
    </row>
    <row r="32" customFormat="false" ht="15" hidden="false" customHeight="false" outlineLevel="0" collapsed="false">
      <c r="A32" s="8" t="s">
        <v>186</v>
      </c>
      <c r="B32" s="8" t="s">
        <v>191</v>
      </c>
      <c r="C32" s="8" t="s">
        <v>90</v>
      </c>
      <c r="D32" s="8" t="n">
        <v>2300</v>
      </c>
      <c r="E32" s="8" t="n">
        <v>470</v>
      </c>
      <c r="F32" s="8" t="n">
        <v>380</v>
      </c>
      <c r="G32" s="8"/>
      <c r="H32" s="8"/>
      <c r="I32" s="8"/>
      <c r="J32" s="8" t="s">
        <v>188</v>
      </c>
      <c r="K32" s="8" t="n">
        <v>5</v>
      </c>
      <c r="L32" s="8" t="s">
        <v>162</v>
      </c>
      <c r="M32" s="8" t="n">
        <v>350</v>
      </c>
      <c r="N32" s="8" t="s">
        <v>163</v>
      </c>
      <c r="O32" s="8" t="s">
        <v>192</v>
      </c>
      <c r="P32" s="8" t="s">
        <v>193</v>
      </c>
      <c r="Q32" s="9" t="s">
        <v>96</v>
      </c>
    </row>
    <row r="33" customFormat="false" ht="15" hidden="false" customHeight="false" outlineLevel="0" collapsed="false">
      <c r="A33" s="8" t="s">
        <v>186</v>
      </c>
      <c r="B33" s="8" t="s">
        <v>194</v>
      </c>
      <c r="C33" s="8" t="s">
        <v>107</v>
      </c>
      <c r="D33" s="8" t="n">
        <v>3000</v>
      </c>
      <c r="E33" s="8" t="n">
        <v>530</v>
      </c>
      <c r="F33" s="8" t="n">
        <v>410</v>
      </c>
      <c r="G33" s="8"/>
      <c r="H33" s="8"/>
      <c r="I33" s="8"/>
      <c r="J33" s="8" t="s">
        <v>195</v>
      </c>
      <c r="K33" s="8" t="n">
        <v>5</v>
      </c>
      <c r="L33" s="8" t="s">
        <v>162</v>
      </c>
      <c r="M33" s="8" t="n">
        <v>290</v>
      </c>
      <c r="N33" s="8" t="s">
        <v>163</v>
      </c>
      <c r="O33" s="8" t="s">
        <v>196</v>
      </c>
      <c r="P33" s="8" t="s">
        <v>197</v>
      </c>
      <c r="Q33" s="9" t="s">
        <v>96</v>
      </c>
    </row>
    <row r="34" customFormat="false" ht="15" hidden="false" customHeight="false" outlineLevel="0" collapsed="false">
      <c r="A34" s="8" t="s">
        <v>186</v>
      </c>
      <c r="B34" s="8" t="s">
        <v>198</v>
      </c>
      <c r="C34" s="8" t="s">
        <v>90</v>
      </c>
      <c r="D34" s="8" t="n">
        <v>2000</v>
      </c>
      <c r="E34" s="8" t="n">
        <v>500</v>
      </c>
      <c r="F34" s="8" t="n">
        <v>440</v>
      </c>
      <c r="G34" s="8"/>
      <c r="H34" s="8"/>
      <c r="I34" s="8"/>
      <c r="J34" s="8" t="s">
        <v>199</v>
      </c>
      <c r="K34" s="8" t="n">
        <v>5</v>
      </c>
      <c r="L34" s="8"/>
      <c r="M34" s="8" t="n">
        <v>40</v>
      </c>
      <c r="N34" s="8" t="s">
        <v>163</v>
      </c>
      <c r="O34" s="8" t="s">
        <v>200</v>
      </c>
      <c r="P34" s="8" t="s">
        <v>201</v>
      </c>
      <c r="Q34" s="9" t="s">
        <v>96</v>
      </c>
    </row>
    <row r="35" customFormat="false" ht="15" hidden="false" customHeight="false" outlineLevel="0" collapsed="false">
      <c r="A35" s="8" t="s">
        <v>186</v>
      </c>
      <c r="B35" s="8" t="s">
        <v>202</v>
      </c>
      <c r="C35" s="8" t="s">
        <v>203</v>
      </c>
      <c r="D35" s="8" t="n">
        <v>3000</v>
      </c>
      <c r="E35" s="8" t="n">
        <v>530</v>
      </c>
      <c r="F35" s="8" t="n">
        <v>410</v>
      </c>
      <c r="G35" s="8"/>
      <c r="H35" s="8"/>
      <c r="I35" s="8"/>
      <c r="J35" s="8" t="s">
        <v>195</v>
      </c>
      <c r="K35" s="8" t="n">
        <v>5</v>
      </c>
      <c r="L35" s="8" t="s">
        <v>162</v>
      </c>
      <c r="M35" s="8" t="n">
        <v>320</v>
      </c>
      <c r="N35" s="8" t="s">
        <v>204</v>
      </c>
      <c r="O35" s="8" t="s">
        <v>205</v>
      </c>
      <c r="P35" s="8" t="s">
        <v>206</v>
      </c>
      <c r="Q35" s="9" t="s">
        <v>96</v>
      </c>
    </row>
    <row r="36" customFormat="false" ht="15" hidden="false" customHeight="false" outlineLevel="0" collapsed="false">
      <c r="A36" s="8" t="s">
        <v>186</v>
      </c>
      <c r="B36" s="8" t="s">
        <v>207</v>
      </c>
      <c r="C36" s="8" t="s">
        <v>90</v>
      </c>
      <c r="D36" s="8" t="n">
        <v>2500</v>
      </c>
      <c r="E36" s="8" t="n">
        <v>530</v>
      </c>
      <c r="F36" s="8" t="n">
        <v>440</v>
      </c>
      <c r="G36" s="8"/>
      <c r="H36" s="8"/>
      <c r="I36" s="8"/>
      <c r="J36" s="8" t="s">
        <v>102</v>
      </c>
      <c r="K36" s="8" t="n">
        <v>5</v>
      </c>
      <c r="L36" s="8"/>
      <c r="M36" s="8" t="n">
        <v>250</v>
      </c>
      <c r="N36" s="8" t="s">
        <v>163</v>
      </c>
      <c r="O36" s="8" t="s">
        <v>200</v>
      </c>
      <c r="P36" s="8" t="s">
        <v>208</v>
      </c>
      <c r="Q36" s="9" t="s">
        <v>96</v>
      </c>
    </row>
    <row r="37" customFormat="false" ht="15" hidden="false" customHeight="false" outlineLevel="0" collapsed="false">
      <c r="A37" s="8" t="s">
        <v>186</v>
      </c>
      <c r="B37" s="8" t="s">
        <v>209</v>
      </c>
      <c r="C37" s="8" t="s">
        <v>210</v>
      </c>
      <c r="D37" s="8" t="n">
        <v>1800</v>
      </c>
      <c r="E37" s="8" t="n">
        <v>540</v>
      </c>
      <c r="F37" s="8"/>
      <c r="G37" s="8"/>
      <c r="H37" s="8"/>
      <c r="I37" s="8"/>
      <c r="J37" s="8" t="s">
        <v>211</v>
      </c>
      <c r="K37" s="8" t="n">
        <v>5</v>
      </c>
      <c r="L37" s="8"/>
      <c r="M37" s="8"/>
      <c r="N37" s="8"/>
      <c r="O37" s="8" t="s">
        <v>212</v>
      </c>
      <c r="P37" s="8" t="s">
        <v>213</v>
      </c>
      <c r="Q37" s="9" t="s">
        <v>96</v>
      </c>
    </row>
    <row r="38" customFormat="false" ht="15" hidden="false" customHeight="false" outlineLevel="0" collapsed="false">
      <c r="A38" s="8" t="s">
        <v>186</v>
      </c>
      <c r="B38" s="8" t="s">
        <v>214</v>
      </c>
      <c r="C38" s="8" t="s">
        <v>210</v>
      </c>
      <c r="D38" s="8" t="n">
        <v>1800</v>
      </c>
      <c r="E38" s="8" t="n">
        <v>570</v>
      </c>
      <c r="F38" s="8"/>
      <c r="G38" s="8"/>
      <c r="H38" s="8"/>
      <c r="I38" s="8"/>
      <c r="J38" s="8" t="s">
        <v>211</v>
      </c>
      <c r="K38" s="8" t="n">
        <v>5</v>
      </c>
      <c r="L38" s="8"/>
      <c r="M38" s="8"/>
      <c r="N38" s="8"/>
      <c r="O38" s="8" t="s">
        <v>212</v>
      </c>
      <c r="P38" s="8" t="s">
        <v>215</v>
      </c>
      <c r="Q38" s="9" t="s">
        <v>96</v>
      </c>
    </row>
    <row r="39" customFormat="false" ht="15" hidden="false" customHeight="false" outlineLevel="0" collapsed="false">
      <c r="A39" s="8" t="s">
        <v>186</v>
      </c>
      <c r="B39" s="8" t="s">
        <v>216</v>
      </c>
      <c r="C39" s="8" t="s">
        <v>131</v>
      </c>
      <c r="D39" s="8" t="n">
        <v>2000</v>
      </c>
      <c r="E39" s="8" t="n">
        <v>440</v>
      </c>
      <c r="F39" s="8" t="n">
        <v>370</v>
      </c>
      <c r="G39" s="8"/>
      <c r="H39" s="8"/>
      <c r="I39" s="8"/>
      <c r="J39" s="8" t="s">
        <v>217</v>
      </c>
      <c r="K39" s="8" t="n">
        <v>2</v>
      </c>
      <c r="L39" s="8" t="s">
        <v>182</v>
      </c>
      <c r="M39" s="8" t="n">
        <v>80</v>
      </c>
      <c r="N39" s="8" t="s">
        <v>218</v>
      </c>
      <c r="O39" s="8" t="s">
        <v>200</v>
      </c>
      <c r="P39" s="8" t="s">
        <v>219</v>
      </c>
      <c r="Q39" s="9" t="s">
        <v>96</v>
      </c>
    </row>
    <row r="40" customFormat="false" ht="15" hidden="false" customHeight="false" outlineLevel="0" collapsed="false">
      <c r="A40" s="8" t="s">
        <v>186</v>
      </c>
      <c r="B40" s="8" t="s">
        <v>220</v>
      </c>
      <c r="C40" s="8" t="s">
        <v>131</v>
      </c>
      <c r="D40" s="8" t="n">
        <v>1600</v>
      </c>
      <c r="E40" s="8" t="n">
        <v>520</v>
      </c>
      <c r="F40" s="8" t="n">
        <v>420</v>
      </c>
      <c r="G40" s="8"/>
      <c r="H40" s="8"/>
      <c r="I40" s="8"/>
      <c r="J40" s="8" t="s">
        <v>221</v>
      </c>
      <c r="K40" s="8" t="n">
        <v>12</v>
      </c>
      <c r="L40" s="8" t="s">
        <v>182</v>
      </c>
      <c r="M40" s="8" t="n">
        <v>90</v>
      </c>
      <c r="N40" s="8" t="s">
        <v>183</v>
      </c>
      <c r="O40" s="8" t="s">
        <v>222</v>
      </c>
      <c r="P40" s="8" t="s">
        <v>223</v>
      </c>
      <c r="Q40" s="9" t="s">
        <v>96</v>
      </c>
    </row>
    <row r="41" customFormat="false" ht="15" hidden="false" customHeight="false" outlineLevel="0" collapsed="false">
      <c r="A41" s="8" t="s">
        <v>186</v>
      </c>
      <c r="B41" s="8" t="s">
        <v>224</v>
      </c>
      <c r="C41" s="8" t="s">
        <v>131</v>
      </c>
      <c r="D41" s="8" t="n">
        <v>1600</v>
      </c>
      <c r="E41" s="8" t="n">
        <v>520</v>
      </c>
      <c r="F41" s="8"/>
      <c r="G41" s="8"/>
      <c r="H41" s="8"/>
      <c r="I41" s="8"/>
      <c r="J41" s="8" t="s">
        <v>225</v>
      </c>
      <c r="K41" s="8" t="n">
        <v>12</v>
      </c>
      <c r="L41" s="8"/>
      <c r="M41" s="8"/>
      <c r="N41" s="8"/>
      <c r="O41" s="8" t="s">
        <v>226</v>
      </c>
      <c r="P41" s="8" t="s">
        <v>227</v>
      </c>
      <c r="Q41" s="9" t="s">
        <v>96</v>
      </c>
    </row>
    <row r="42" customFormat="false" ht="15" hidden="false" customHeight="false" outlineLevel="0" collapsed="false">
      <c r="A42" s="8" t="s">
        <v>186</v>
      </c>
      <c r="B42" s="8" t="s">
        <v>228</v>
      </c>
      <c r="C42" s="8" t="s">
        <v>137</v>
      </c>
      <c r="D42" s="8" t="n">
        <v>900</v>
      </c>
      <c r="E42" s="8" t="n">
        <v>410</v>
      </c>
      <c r="F42" s="8"/>
      <c r="G42" s="8"/>
      <c r="H42" s="8"/>
      <c r="I42" s="8"/>
      <c r="J42" s="8" t="s">
        <v>188</v>
      </c>
      <c r="K42" s="8" t="n">
        <v>10</v>
      </c>
      <c r="L42" s="8"/>
      <c r="M42" s="8"/>
      <c r="N42" s="8"/>
      <c r="O42" s="8" t="s">
        <v>229</v>
      </c>
      <c r="P42" s="8" t="s">
        <v>230</v>
      </c>
      <c r="Q42" s="9" t="s">
        <v>96</v>
      </c>
    </row>
    <row r="43" customFormat="false" ht="15" hidden="false" customHeight="false" outlineLevel="0" collapsed="false">
      <c r="A43" s="8" t="s">
        <v>186</v>
      </c>
      <c r="B43" s="8" t="s">
        <v>231</v>
      </c>
      <c r="C43" s="8" t="s">
        <v>137</v>
      </c>
      <c r="D43" s="8" t="n">
        <v>750</v>
      </c>
      <c r="E43" s="8" t="n">
        <v>520</v>
      </c>
      <c r="F43" s="8"/>
      <c r="G43" s="8"/>
      <c r="H43" s="8"/>
      <c r="I43" s="8"/>
      <c r="J43" s="8" t="s">
        <v>232</v>
      </c>
      <c r="K43" s="8" t="n">
        <v>5</v>
      </c>
      <c r="L43" s="8"/>
      <c r="M43" s="8"/>
      <c r="N43" s="8"/>
      <c r="O43" s="8" t="s">
        <v>233</v>
      </c>
      <c r="P43" s="8" t="s">
        <v>234</v>
      </c>
      <c r="Q43" s="9" t="s">
        <v>96</v>
      </c>
    </row>
    <row r="44" customFormat="false" ht="15" hidden="false" customHeight="false" outlineLevel="0" collapsed="false">
      <c r="A44" s="8" t="s">
        <v>186</v>
      </c>
      <c r="B44" s="8" t="s">
        <v>235</v>
      </c>
      <c r="C44" s="8" t="s">
        <v>236</v>
      </c>
      <c r="D44" s="8" t="n">
        <v>80</v>
      </c>
      <c r="E44" s="8" t="n">
        <v>320</v>
      </c>
      <c r="F44" s="8"/>
      <c r="G44" s="8"/>
      <c r="H44" s="8"/>
      <c r="I44" s="8"/>
      <c r="J44" s="8" t="s">
        <v>225</v>
      </c>
      <c r="K44" s="8" t="n">
        <v>100000</v>
      </c>
      <c r="L44" s="8"/>
      <c r="M44" s="8"/>
      <c r="N44" s="8"/>
      <c r="O44" s="8" t="s">
        <v>237</v>
      </c>
      <c r="P44" s="8" t="s">
        <v>238</v>
      </c>
      <c r="Q44" s="9" t="s">
        <v>96</v>
      </c>
    </row>
    <row r="45" customFormat="false" ht="15" hidden="false" customHeight="false" outlineLevel="0" collapsed="false">
      <c r="A45" s="8" t="s">
        <v>239</v>
      </c>
      <c r="B45" s="8" t="s">
        <v>240</v>
      </c>
      <c r="C45" s="8" t="s">
        <v>90</v>
      </c>
      <c r="D45" s="8" t="n">
        <v>2300</v>
      </c>
      <c r="E45" s="8" t="n">
        <v>470</v>
      </c>
      <c r="F45" s="8"/>
      <c r="G45" s="8"/>
      <c r="H45" s="8"/>
      <c r="I45" s="8"/>
      <c r="J45" s="8" t="s">
        <v>115</v>
      </c>
      <c r="K45" s="8" t="n">
        <v>5</v>
      </c>
      <c r="L45" s="8"/>
      <c r="M45" s="8"/>
      <c r="N45" s="8" t="s">
        <v>241</v>
      </c>
      <c r="O45" s="8" t="s">
        <v>242</v>
      </c>
      <c r="P45" s="8" t="s">
        <v>243</v>
      </c>
      <c r="Q45" s="9" t="s">
        <v>96</v>
      </c>
    </row>
    <row r="46" customFormat="false" ht="15" hidden="false" customHeight="false" outlineLevel="0" collapsed="false">
      <c r="A46" s="8" t="s">
        <v>239</v>
      </c>
      <c r="B46" s="8" t="s">
        <v>244</v>
      </c>
      <c r="C46" s="8" t="s">
        <v>90</v>
      </c>
      <c r="D46" s="8" t="n">
        <v>2500</v>
      </c>
      <c r="E46" s="8" t="n">
        <v>470</v>
      </c>
      <c r="F46" s="8"/>
      <c r="G46" s="8"/>
      <c r="H46" s="8"/>
      <c r="I46" s="8"/>
      <c r="J46" s="8" t="s">
        <v>115</v>
      </c>
      <c r="K46" s="8" t="n">
        <v>5</v>
      </c>
      <c r="L46" s="8"/>
      <c r="M46" s="8"/>
      <c r="N46" s="8" t="s">
        <v>241</v>
      </c>
      <c r="O46" s="8" t="s">
        <v>245</v>
      </c>
      <c r="P46" s="8" t="s">
        <v>246</v>
      </c>
      <c r="Q46" s="9" t="s">
        <v>96</v>
      </c>
    </row>
    <row r="47" customFormat="false" ht="15" hidden="false" customHeight="false" outlineLevel="0" collapsed="false">
      <c r="A47" s="8" t="s">
        <v>239</v>
      </c>
      <c r="B47" s="8" t="s">
        <v>247</v>
      </c>
      <c r="C47" s="8" t="s">
        <v>90</v>
      </c>
      <c r="D47" s="8" t="n">
        <v>3000</v>
      </c>
      <c r="E47" s="8" t="n">
        <v>470</v>
      </c>
      <c r="F47" s="8"/>
      <c r="G47" s="8"/>
      <c r="H47" s="8"/>
      <c r="I47" s="8"/>
      <c r="J47" s="8" t="s">
        <v>115</v>
      </c>
      <c r="K47" s="8" t="n">
        <v>5</v>
      </c>
      <c r="L47" s="8"/>
      <c r="M47" s="8"/>
      <c r="N47" s="8" t="s">
        <v>241</v>
      </c>
      <c r="O47" s="8" t="s">
        <v>242</v>
      </c>
      <c r="P47" s="8" t="s">
        <v>248</v>
      </c>
      <c r="Q47" s="9" t="s">
        <v>96</v>
      </c>
    </row>
    <row r="48" customFormat="false" ht="15" hidden="false" customHeight="false" outlineLevel="0" collapsed="false">
      <c r="A48" s="8" t="s">
        <v>239</v>
      </c>
      <c r="B48" s="8" t="s">
        <v>249</v>
      </c>
      <c r="C48" s="8" t="s">
        <v>107</v>
      </c>
      <c r="D48" s="8" t="n">
        <v>3000</v>
      </c>
      <c r="E48" s="8" t="n">
        <v>470</v>
      </c>
      <c r="F48" s="8"/>
      <c r="G48" s="8"/>
      <c r="H48" s="8"/>
      <c r="I48" s="8"/>
      <c r="J48" s="8" t="s">
        <v>161</v>
      </c>
      <c r="K48" s="8" t="n">
        <v>5</v>
      </c>
      <c r="L48" s="8"/>
      <c r="M48" s="8"/>
      <c r="N48" s="8" t="s">
        <v>241</v>
      </c>
      <c r="O48" s="8" t="s">
        <v>250</v>
      </c>
      <c r="P48" s="8" t="s">
        <v>251</v>
      </c>
      <c r="Q48" s="9" t="s">
        <v>96</v>
      </c>
    </row>
    <row r="49" customFormat="false" ht="15" hidden="false" customHeight="false" outlineLevel="0" collapsed="false">
      <c r="A49" s="8" t="s">
        <v>239</v>
      </c>
      <c r="B49" s="8" t="s">
        <v>252</v>
      </c>
      <c r="C49" s="8" t="s">
        <v>131</v>
      </c>
      <c r="D49" s="8" t="n">
        <v>750</v>
      </c>
      <c r="E49" s="8" t="n">
        <v>520</v>
      </c>
      <c r="F49" s="8"/>
      <c r="G49" s="8"/>
      <c r="H49" s="8"/>
      <c r="I49" s="8"/>
      <c r="J49" s="8" t="s">
        <v>138</v>
      </c>
      <c r="K49" s="8" t="n">
        <v>10</v>
      </c>
      <c r="L49" s="8"/>
      <c r="M49" s="8"/>
      <c r="N49" s="8" t="s">
        <v>241</v>
      </c>
      <c r="O49" s="8" t="s">
        <v>253</v>
      </c>
      <c r="P49" s="8" t="s">
        <v>254</v>
      </c>
      <c r="Q49" s="9" t="s">
        <v>96</v>
      </c>
    </row>
    <row r="50" customFormat="false" ht="15" hidden="false" customHeight="false" outlineLevel="0" collapsed="false">
      <c r="A50" s="8" t="s">
        <v>239</v>
      </c>
      <c r="B50" s="8" t="s">
        <v>255</v>
      </c>
      <c r="C50" s="8" t="s">
        <v>142</v>
      </c>
      <c r="D50" s="8" t="n">
        <v>5000</v>
      </c>
      <c r="E50" s="8" t="n">
        <v>470</v>
      </c>
      <c r="F50" s="8"/>
      <c r="G50" s="8"/>
      <c r="H50" s="8"/>
      <c r="I50" s="8"/>
      <c r="J50" s="8" t="s">
        <v>256</v>
      </c>
      <c r="K50" s="8" t="n">
        <v>0.5</v>
      </c>
      <c r="L50" s="8"/>
      <c r="M50" s="8"/>
      <c r="N50" s="8"/>
      <c r="O50" s="8" t="s">
        <v>257</v>
      </c>
      <c r="P50" s="8" t="s">
        <v>258</v>
      </c>
      <c r="Q50" s="9" t="s">
        <v>96</v>
      </c>
    </row>
    <row r="51" customFormat="false" ht="15" hidden="false" customHeight="false" outlineLevel="0" collapsed="false">
      <c r="A51" s="8" t="s">
        <v>239</v>
      </c>
      <c r="B51" s="8" t="s">
        <v>259</v>
      </c>
      <c r="C51" s="8" t="s">
        <v>142</v>
      </c>
      <c r="D51" s="8" t="n">
        <v>10000</v>
      </c>
      <c r="E51" s="8" t="n">
        <v>470</v>
      </c>
      <c r="F51" s="8"/>
      <c r="G51" s="8"/>
      <c r="H51" s="8"/>
      <c r="I51" s="8"/>
      <c r="J51" s="8" t="s">
        <v>260</v>
      </c>
      <c r="K51" s="8" t="n">
        <v>0.1</v>
      </c>
      <c r="L51" s="8"/>
      <c r="M51" s="8"/>
      <c r="N51" s="8"/>
      <c r="O51" s="8" t="s">
        <v>261</v>
      </c>
      <c r="P51" s="8" t="s">
        <v>148</v>
      </c>
      <c r="Q51" s="9" t="s">
        <v>96</v>
      </c>
    </row>
    <row r="52" customFormat="false" ht="15" hidden="false" customHeight="false" outlineLevel="0" collapsed="false">
      <c r="A52" s="8" t="s">
        <v>239</v>
      </c>
      <c r="B52" s="8" t="s">
        <v>262</v>
      </c>
      <c r="C52" s="8" t="s">
        <v>263</v>
      </c>
      <c r="D52" s="8" t="n">
        <v>15000</v>
      </c>
      <c r="E52" s="8" t="n">
        <v>470</v>
      </c>
      <c r="F52" s="8"/>
      <c r="G52" s="8"/>
      <c r="H52" s="8"/>
      <c r="I52" s="8"/>
      <c r="J52" s="8" t="s">
        <v>147</v>
      </c>
      <c r="K52" s="8" t="n">
        <v>0.5</v>
      </c>
      <c r="L52" s="8"/>
      <c r="M52" s="8"/>
      <c r="N52" s="8"/>
      <c r="O52" s="8" t="s">
        <v>261</v>
      </c>
      <c r="P52" s="8" t="s">
        <v>264</v>
      </c>
      <c r="Q52" s="9" t="s">
        <v>96</v>
      </c>
    </row>
    <row r="53" customFormat="false" ht="15" hidden="false" customHeight="false" outlineLevel="0" collapsed="false">
      <c r="A53" s="8" t="s">
        <v>265</v>
      </c>
      <c r="B53" s="8" t="s">
        <v>266</v>
      </c>
      <c r="C53" s="8" t="s">
        <v>90</v>
      </c>
      <c r="D53" s="8" t="n">
        <v>2300</v>
      </c>
      <c r="E53" s="8" t="n">
        <v>480</v>
      </c>
      <c r="F53" s="8"/>
      <c r="G53" s="8" t="n">
        <v>150</v>
      </c>
      <c r="H53" s="8"/>
      <c r="I53" s="8"/>
      <c r="J53" s="8" t="s">
        <v>91</v>
      </c>
      <c r="K53" s="8" t="n">
        <v>2</v>
      </c>
      <c r="L53" s="8"/>
      <c r="M53" s="8"/>
      <c r="N53" s="8" t="s">
        <v>267</v>
      </c>
      <c r="O53" s="8" t="s">
        <v>268</v>
      </c>
      <c r="P53" s="8" t="s">
        <v>269</v>
      </c>
      <c r="Q53" s="9" t="s">
        <v>96</v>
      </c>
    </row>
    <row r="54" customFormat="false" ht="15" hidden="false" customHeight="false" outlineLevel="0" collapsed="false">
      <c r="A54" s="8" t="s">
        <v>265</v>
      </c>
      <c r="B54" s="8" t="s">
        <v>270</v>
      </c>
      <c r="C54" s="8" t="s">
        <v>107</v>
      </c>
      <c r="D54" s="8" t="n">
        <v>3000</v>
      </c>
      <c r="E54" s="8" t="n">
        <v>500</v>
      </c>
      <c r="F54" s="8"/>
      <c r="G54" s="8"/>
      <c r="H54" s="8"/>
      <c r="I54" s="8"/>
      <c r="J54" s="8" t="s">
        <v>161</v>
      </c>
      <c r="K54" s="8" t="n">
        <v>2</v>
      </c>
      <c r="L54" s="8"/>
      <c r="M54" s="8"/>
      <c r="N54" s="8" t="s">
        <v>271</v>
      </c>
      <c r="O54" s="8" t="s">
        <v>189</v>
      </c>
      <c r="P54" s="8" t="s">
        <v>272</v>
      </c>
      <c r="Q54" s="9" t="s">
        <v>96</v>
      </c>
    </row>
    <row r="56" customFormat="false" ht="15" hidden="false" customHeight="false" outlineLevel="0" collapsed="false">
      <c r="A56" s="2" t="s">
        <v>273</v>
      </c>
    </row>
    <row r="57" customFormat="false" ht="15" hidden="false" customHeight="false" outlineLevel="0" collapsed="false">
      <c r="A57" s="2" t="s">
        <v>274</v>
      </c>
    </row>
  </sheetData>
  <autoFilter ref="A4:Q54"/>
  <hyperlinks>
    <hyperlink ref="Q5" r:id="rId1" display="datasheet"/>
    <hyperlink ref="Q6" r:id="rId2" display="datasheet"/>
    <hyperlink ref="Q7" r:id="rId3" display="datasheet"/>
    <hyperlink ref="Q8" r:id="rId4" display="datasheet"/>
    <hyperlink ref="Q9" r:id="rId5" display="datasheet"/>
    <hyperlink ref="Q10" r:id="rId6" display="datasheet"/>
    <hyperlink ref="Q11" r:id="rId7" display="datasheet"/>
    <hyperlink ref="Q12" r:id="rId8" display="datasheet"/>
    <hyperlink ref="Q13" r:id="rId9" display="datasheet"/>
    <hyperlink ref="Q14" r:id="rId10" display="datasheet"/>
    <hyperlink ref="Q15" r:id="rId11" display="datasheet"/>
    <hyperlink ref="Q16" r:id="rId12" display="datasheet"/>
    <hyperlink ref="Q17" r:id="rId13" display="datasheet"/>
    <hyperlink ref="Q18" r:id="rId14" display="datasheet"/>
    <hyperlink ref="Q19" r:id="rId15" display="datasheet"/>
    <hyperlink ref="Q20" r:id="rId16" display="datasheet"/>
    <hyperlink ref="Q21" r:id="rId17" display="datasheet"/>
    <hyperlink ref="Q22" r:id="rId18" display="datasheet"/>
    <hyperlink ref="Q23" r:id="rId19" display="datasheet"/>
    <hyperlink ref="Q24" r:id="rId20" display="datasheet"/>
    <hyperlink ref="Q25" r:id="rId21" display="datasheet"/>
    <hyperlink ref="Q26" r:id="rId22" display="datasheet"/>
    <hyperlink ref="Q27" r:id="rId23" display="datasheet"/>
    <hyperlink ref="Q28" r:id="rId24" display="datasheet"/>
    <hyperlink ref="Q29" r:id="rId25" display="datasheet"/>
    <hyperlink ref="Q30" r:id="rId26" display="datasheet"/>
    <hyperlink ref="Q31" r:id="rId27" display="datasheet"/>
    <hyperlink ref="Q32" r:id="rId28" display="datasheet"/>
    <hyperlink ref="Q33" r:id="rId29" display="datasheet"/>
    <hyperlink ref="Q34" r:id="rId30" display="datasheet"/>
    <hyperlink ref="Q35" r:id="rId31" display="datasheet"/>
    <hyperlink ref="Q36" r:id="rId32" display="datasheet"/>
    <hyperlink ref="Q37" r:id="rId33" display="datasheet"/>
    <hyperlink ref="Q38" r:id="rId34" display="datasheet"/>
    <hyperlink ref="Q39" r:id="rId35" display="datasheet"/>
    <hyperlink ref="Q40" r:id="rId36" display="datasheet"/>
    <hyperlink ref="Q41" r:id="rId37" display="datasheet"/>
    <hyperlink ref="Q42" r:id="rId38" display="datasheet"/>
    <hyperlink ref="Q43" r:id="rId39" display="datasheet"/>
    <hyperlink ref="Q44" r:id="rId40" display="datasheet"/>
    <hyperlink ref="Q45" r:id="rId41" display="datasheet"/>
    <hyperlink ref="Q46" r:id="rId42" display="datasheet"/>
    <hyperlink ref="Q47" r:id="rId43" display="datasheet"/>
    <hyperlink ref="Q48" r:id="rId44" display="datasheet"/>
    <hyperlink ref="Q49" r:id="rId45" display="datasheet"/>
    <hyperlink ref="Q50" r:id="rId46" display="datasheet"/>
    <hyperlink ref="Q51" r:id="rId47" display="datasheet"/>
    <hyperlink ref="Q52" r:id="rId48" display="datasheet"/>
    <hyperlink ref="Q53" r:id="rId49" display="datasheet"/>
    <hyperlink ref="Q54" r:id="rId50" display="datashee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5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4" min="4" style="0" width="8"/>
    <col collapsed="false" customWidth="true" hidden="false" outlineLevel="0" max="13" min="5" style="0" width="9"/>
    <col collapsed="false" customWidth="true" hidden="false" outlineLevel="0" max="14" min="14" style="0" width="34"/>
    <col collapsed="false" customWidth="true" hidden="false" outlineLevel="0" max="15" min="15" style="0" width="16"/>
    <col collapsed="false" customWidth="true" hidden="false" outlineLevel="0" max="16" min="16" style="0" width="46"/>
    <col collapsed="false" customWidth="true" hidden="false" outlineLevel="0" max="17" min="17" style="0" width="11"/>
  </cols>
  <sheetData>
    <row r="1" customFormat="false" ht="19.5" hidden="false" customHeight="true" outlineLevel="0" collapsed="false">
      <c r="A1" s="6" t="s">
        <v>275</v>
      </c>
    </row>
    <row r="2" customFormat="false" ht="15" hidden="false" customHeight="false" outlineLevel="0" collapsed="false">
      <c r="A2" s="2" t="s">
        <v>276</v>
      </c>
    </row>
    <row r="4" customFormat="false" ht="33.75" hidden="false" customHeight="true" outlineLevel="0" collapsed="false">
      <c r="A4" s="7" t="s">
        <v>71</v>
      </c>
      <c r="B4" s="7" t="s">
        <v>72</v>
      </c>
      <c r="C4" s="7" t="s">
        <v>73</v>
      </c>
      <c r="D4" s="7" t="s">
        <v>74</v>
      </c>
      <c r="E4" s="7" t="s">
        <v>75</v>
      </c>
      <c r="F4" s="7" t="s">
        <v>76</v>
      </c>
      <c r="G4" s="7" t="s">
        <v>77</v>
      </c>
      <c r="H4" s="7" t="s">
        <v>78</v>
      </c>
      <c r="I4" s="7" t="s">
        <v>79</v>
      </c>
      <c r="J4" s="7" t="s">
        <v>80</v>
      </c>
      <c r="K4" s="7" t="s">
        <v>81</v>
      </c>
      <c r="L4" s="7" t="s">
        <v>82</v>
      </c>
      <c r="M4" s="7" t="s">
        <v>83</v>
      </c>
      <c r="N4" s="7" t="s">
        <v>84</v>
      </c>
      <c r="O4" s="7" t="s">
        <v>85</v>
      </c>
      <c r="P4" s="7" t="s">
        <v>86</v>
      </c>
      <c r="Q4" s="7" t="s">
        <v>87</v>
      </c>
    </row>
    <row r="5" customFormat="false" ht="15" hidden="false" customHeight="false" outlineLevel="0" collapsed="false">
      <c r="A5" s="8" t="s">
        <v>277</v>
      </c>
      <c r="B5" s="8" t="s">
        <v>278</v>
      </c>
      <c r="C5" s="8" t="s">
        <v>90</v>
      </c>
      <c r="D5" s="8" t="n">
        <v>2300</v>
      </c>
      <c r="E5" s="8" t="n">
        <v>510</v>
      </c>
      <c r="F5" s="8" t="n">
        <v>390</v>
      </c>
      <c r="G5" s="8" t="n">
        <v>95</v>
      </c>
      <c r="H5" s="8" t="n">
        <v>14</v>
      </c>
      <c r="I5" s="8" t="n">
        <v>9</v>
      </c>
      <c r="J5" s="8" t="s">
        <v>98</v>
      </c>
      <c r="K5" s="8" t="n">
        <v>6.5</v>
      </c>
      <c r="L5" s="8" t="n">
        <v>4.8</v>
      </c>
      <c r="M5" s="8" t="n">
        <v>600</v>
      </c>
      <c r="N5" s="8" t="s">
        <v>279</v>
      </c>
      <c r="O5" s="8" t="s">
        <v>189</v>
      </c>
      <c r="P5" s="8" t="s">
        <v>280</v>
      </c>
      <c r="Q5" s="9" t="s">
        <v>96</v>
      </c>
    </row>
    <row r="6" customFormat="false" ht="15" hidden="false" customHeight="false" outlineLevel="0" collapsed="false">
      <c r="A6" s="8" t="s">
        <v>277</v>
      </c>
      <c r="B6" s="8" t="s">
        <v>281</v>
      </c>
      <c r="C6" s="8" t="s">
        <v>90</v>
      </c>
      <c r="D6" s="8" t="n">
        <v>2400</v>
      </c>
      <c r="E6" s="8" t="n">
        <v>510</v>
      </c>
      <c r="F6" s="8" t="n">
        <v>400</v>
      </c>
      <c r="G6" s="8" t="n">
        <v>110</v>
      </c>
      <c r="H6" s="8" t="n">
        <v>15</v>
      </c>
      <c r="I6" s="8" t="n">
        <v>6</v>
      </c>
      <c r="J6" s="8" t="s">
        <v>98</v>
      </c>
      <c r="K6" s="8"/>
      <c r="L6" s="8" t="n">
        <v>4.8</v>
      </c>
      <c r="M6" s="8" t="n">
        <v>600</v>
      </c>
      <c r="N6" s="8" t="s">
        <v>282</v>
      </c>
      <c r="O6" s="8" t="s">
        <v>192</v>
      </c>
      <c r="P6" s="8" t="s">
        <v>283</v>
      </c>
      <c r="Q6" s="9" t="s">
        <v>96</v>
      </c>
    </row>
    <row r="7" customFormat="false" ht="15" hidden="false" customHeight="false" outlineLevel="0" collapsed="false">
      <c r="A7" s="8" t="s">
        <v>277</v>
      </c>
      <c r="B7" s="8" t="s">
        <v>284</v>
      </c>
      <c r="C7" s="8" t="s">
        <v>107</v>
      </c>
      <c r="D7" s="8" t="n">
        <v>3300</v>
      </c>
      <c r="E7" s="8" t="n">
        <v>530</v>
      </c>
      <c r="F7" s="8" t="n">
        <v>410</v>
      </c>
      <c r="G7" s="8" t="n">
        <v>85</v>
      </c>
      <c r="H7" s="8" t="n">
        <v>9</v>
      </c>
      <c r="I7" s="8"/>
      <c r="J7" s="8" t="s">
        <v>98</v>
      </c>
      <c r="K7" s="8"/>
      <c r="L7" s="8" t="n">
        <v>4.9</v>
      </c>
      <c r="M7" s="8" t="n">
        <v>350</v>
      </c>
      <c r="N7" s="8" t="s">
        <v>285</v>
      </c>
      <c r="O7" s="8" t="s">
        <v>192</v>
      </c>
      <c r="P7" s="8" t="s">
        <v>286</v>
      </c>
      <c r="Q7" s="9" t="s">
        <v>96</v>
      </c>
    </row>
    <row r="8" customFormat="false" ht="15" hidden="false" customHeight="false" outlineLevel="0" collapsed="false">
      <c r="A8" s="8" t="s">
        <v>277</v>
      </c>
      <c r="B8" s="8" t="s">
        <v>287</v>
      </c>
      <c r="C8" s="8" t="s">
        <v>288</v>
      </c>
      <c r="D8" s="8" t="n">
        <v>3300</v>
      </c>
      <c r="E8" s="8" t="n">
        <v>540</v>
      </c>
      <c r="F8" s="8" t="n">
        <v>450</v>
      </c>
      <c r="G8" s="8" t="n">
        <v>75</v>
      </c>
      <c r="H8" s="8" t="n">
        <v>10</v>
      </c>
      <c r="I8" s="8" t="n">
        <v>8</v>
      </c>
      <c r="J8" s="8" t="s">
        <v>102</v>
      </c>
      <c r="K8" s="8"/>
      <c r="L8" s="8" t="n">
        <v>4.9</v>
      </c>
      <c r="M8" s="8" t="n">
        <v>350</v>
      </c>
      <c r="N8" s="8" t="s">
        <v>282</v>
      </c>
      <c r="O8" s="8" t="s">
        <v>192</v>
      </c>
      <c r="P8" s="8" t="s">
        <v>289</v>
      </c>
      <c r="Q8" s="9" t="s">
        <v>96</v>
      </c>
    </row>
    <row r="9" customFormat="false" ht="15" hidden="false" customHeight="false" outlineLevel="0" collapsed="false">
      <c r="A9" s="8" t="s">
        <v>277</v>
      </c>
      <c r="B9" s="8" t="s">
        <v>290</v>
      </c>
      <c r="C9" s="8" t="s">
        <v>291</v>
      </c>
      <c r="D9" s="8" t="n">
        <v>3300</v>
      </c>
      <c r="E9" s="8" t="n">
        <v>540</v>
      </c>
      <c r="F9" s="8" t="n">
        <v>430</v>
      </c>
      <c r="G9" s="8" t="n">
        <v>95</v>
      </c>
      <c r="H9" s="8" t="n">
        <v>10</v>
      </c>
      <c r="I9" s="8" t="n">
        <v>7</v>
      </c>
      <c r="J9" s="8" t="s">
        <v>102</v>
      </c>
      <c r="K9" s="8"/>
      <c r="L9" s="8" t="s">
        <v>292</v>
      </c>
      <c r="M9" s="8" t="n">
        <v>310</v>
      </c>
      <c r="N9" s="8" t="s">
        <v>293</v>
      </c>
      <c r="O9" s="8" t="s">
        <v>192</v>
      </c>
      <c r="P9" s="8" t="s">
        <v>294</v>
      </c>
      <c r="Q9" s="9" t="s">
        <v>96</v>
      </c>
    </row>
    <row r="10" customFormat="false" ht="15" hidden="false" customHeight="false" outlineLevel="0" collapsed="false">
      <c r="A10" s="8" t="s">
        <v>277</v>
      </c>
      <c r="B10" s="8" t="s">
        <v>295</v>
      </c>
      <c r="C10" s="8" t="s">
        <v>137</v>
      </c>
      <c r="D10" s="8" t="n">
        <v>900</v>
      </c>
      <c r="E10" s="8" t="n">
        <v>500</v>
      </c>
      <c r="F10" s="8" t="n">
        <v>430</v>
      </c>
      <c r="G10" s="8" t="n">
        <v>120</v>
      </c>
      <c r="H10" s="8" t="n">
        <v>45</v>
      </c>
      <c r="I10" s="8" t="n">
        <v>38</v>
      </c>
      <c r="J10" s="8" t="s">
        <v>121</v>
      </c>
      <c r="K10" s="8"/>
      <c r="L10" s="8" t="n">
        <v>4.7</v>
      </c>
      <c r="M10" s="8" t="n">
        <v>100</v>
      </c>
      <c r="N10" s="8" t="s">
        <v>296</v>
      </c>
      <c r="O10" s="8" t="s">
        <v>297</v>
      </c>
      <c r="P10" s="8" t="s">
        <v>298</v>
      </c>
      <c r="Q10" s="9" t="s">
        <v>96</v>
      </c>
    </row>
    <row r="11" customFormat="false" ht="15" hidden="false" customHeight="false" outlineLevel="0" collapsed="false">
      <c r="A11" s="8" t="s">
        <v>277</v>
      </c>
      <c r="B11" s="8" t="s">
        <v>299</v>
      </c>
      <c r="C11" s="8" t="s">
        <v>90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 t="s">
        <v>300</v>
      </c>
      <c r="O11" s="8" t="s">
        <v>192</v>
      </c>
      <c r="P11" s="8" t="s">
        <v>301</v>
      </c>
      <c r="Q11" s="9" t="s">
        <v>96</v>
      </c>
    </row>
    <row r="12" customFormat="false" ht="15" hidden="false" customHeight="false" outlineLevel="0" collapsed="false">
      <c r="A12" s="8" t="s">
        <v>277</v>
      </c>
      <c r="B12" s="8" t="s">
        <v>302</v>
      </c>
      <c r="C12" s="8" t="s">
        <v>120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 t="s">
        <v>300</v>
      </c>
      <c r="O12" s="8" t="s">
        <v>192</v>
      </c>
      <c r="P12" s="8" t="s">
        <v>303</v>
      </c>
      <c r="Q12" s="9" t="s">
        <v>96</v>
      </c>
    </row>
    <row r="13" customFormat="false" ht="15" hidden="false" customHeight="false" outlineLevel="0" collapsed="false">
      <c r="A13" s="8" t="s">
        <v>277</v>
      </c>
      <c r="B13" s="8" t="s">
        <v>304</v>
      </c>
      <c r="C13" s="8" t="s">
        <v>131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 t="s">
        <v>300</v>
      </c>
      <c r="O13" s="8" t="s">
        <v>305</v>
      </c>
      <c r="P13" s="8" t="s">
        <v>306</v>
      </c>
      <c r="Q13" s="9" t="s">
        <v>96</v>
      </c>
    </row>
    <row r="14" customFormat="false" ht="15" hidden="false" customHeight="false" outlineLevel="0" collapsed="false">
      <c r="A14" s="8" t="s">
        <v>277</v>
      </c>
      <c r="B14" s="8" t="s">
        <v>307</v>
      </c>
      <c r="C14" s="8" t="s">
        <v>210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 t="s">
        <v>300</v>
      </c>
      <c r="O14" s="8" t="s">
        <v>192</v>
      </c>
      <c r="P14" s="8" t="s">
        <v>308</v>
      </c>
      <c r="Q14" s="9" t="s">
        <v>96</v>
      </c>
    </row>
    <row r="15" customFormat="false" ht="15" hidden="false" customHeight="false" outlineLevel="0" collapsed="false">
      <c r="A15" s="8" t="s">
        <v>277</v>
      </c>
      <c r="B15" s="8" t="s">
        <v>309</v>
      </c>
      <c r="C15" s="8" t="s">
        <v>142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 t="s">
        <v>300</v>
      </c>
      <c r="O15" s="8" t="s">
        <v>261</v>
      </c>
      <c r="P15" s="8" t="s">
        <v>310</v>
      </c>
      <c r="Q15" s="9" t="s">
        <v>96</v>
      </c>
    </row>
    <row r="16" customFormat="false" ht="15" hidden="false" customHeight="false" outlineLevel="0" collapsed="false">
      <c r="A16" s="8" t="s">
        <v>277</v>
      </c>
      <c r="B16" s="8" t="s">
        <v>311</v>
      </c>
      <c r="C16" s="8" t="s">
        <v>312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 t="s">
        <v>300</v>
      </c>
      <c r="O16" s="8" t="s">
        <v>313</v>
      </c>
      <c r="P16" s="8" t="s">
        <v>314</v>
      </c>
      <c r="Q16" s="9" t="s">
        <v>96</v>
      </c>
    </row>
    <row r="17" customFormat="false" ht="15" hidden="false" customHeight="false" outlineLevel="0" collapsed="false">
      <c r="A17" s="8" t="s">
        <v>315</v>
      </c>
      <c r="B17" s="8" t="s">
        <v>316</v>
      </c>
      <c r="C17" s="8" t="s">
        <v>90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 t="s">
        <v>317</v>
      </c>
      <c r="O17" s="8" t="s">
        <v>192</v>
      </c>
      <c r="P17" s="8" t="s">
        <v>318</v>
      </c>
      <c r="Q17" s="9" t="s">
        <v>96</v>
      </c>
    </row>
    <row r="18" customFormat="false" ht="15" hidden="false" customHeight="false" outlineLevel="0" collapsed="false">
      <c r="A18" s="8" t="s">
        <v>315</v>
      </c>
      <c r="B18" s="8" t="s">
        <v>319</v>
      </c>
      <c r="C18" s="8" t="s">
        <v>320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 t="s">
        <v>317</v>
      </c>
      <c r="O18" s="8" t="s">
        <v>321</v>
      </c>
      <c r="P18" s="8" t="s">
        <v>322</v>
      </c>
      <c r="Q18" s="9" t="s">
        <v>96</v>
      </c>
    </row>
    <row r="19" customFormat="false" ht="15" hidden="false" customHeight="false" outlineLevel="0" collapsed="false">
      <c r="A19" s="8" t="s">
        <v>315</v>
      </c>
      <c r="B19" s="8" t="s">
        <v>323</v>
      </c>
      <c r="C19" s="8" t="s">
        <v>324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 t="s">
        <v>317</v>
      </c>
      <c r="O19" s="8" t="s">
        <v>321</v>
      </c>
      <c r="P19" s="8" t="s">
        <v>325</v>
      </c>
      <c r="Q19" s="9" t="s">
        <v>96</v>
      </c>
    </row>
    <row r="20" customFormat="false" ht="15" hidden="false" customHeight="false" outlineLevel="0" collapsed="false">
      <c r="A20" s="8" t="s">
        <v>315</v>
      </c>
      <c r="B20" s="8" t="s">
        <v>326</v>
      </c>
      <c r="C20" s="8" t="s">
        <v>131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 t="s">
        <v>317</v>
      </c>
      <c r="O20" s="8" t="s">
        <v>327</v>
      </c>
      <c r="P20" s="8" t="s">
        <v>328</v>
      </c>
      <c r="Q20" s="9" t="s">
        <v>96</v>
      </c>
    </row>
    <row r="21" customFormat="false" ht="15" hidden="false" customHeight="false" outlineLevel="0" collapsed="false">
      <c r="A21" s="8" t="s">
        <v>315</v>
      </c>
      <c r="B21" s="8" t="s">
        <v>329</v>
      </c>
      <c r="C21" s="8" t="s">
        <v>210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 t="s">
        <v>317</v>
      </c>
      <c r="O21" s="8" t="s">
        <v>192</v>
      </c>
      <c r="P21" s="8" t="s">
        <v>330</v>
      </c>
      <c r="Q21" s="9" t="s">
        <v>96</v>
      </c>
    </row>
    <row r="22" customFormat="false" ht="15" hidden="false" customHeight="false" outlineLevel="0" collapsed="false">
      <c r="A22" s="8" t="s">
        <v>315</v>
      </c>
      <c r="B22" s="8" t="s">
        <v>331</v>
      </c>
      <c r="C22" s="8" t="s">
        <v>142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 t="s">
        <v>317</v>
      </c>
      <c r="O22" s="8" t="s">
        <v>261</v>
      </c>
      <c r="P22" s="8" t="s">
        <v>332</v>
      </c>
      <c r="Q22" s="9" t="s">
        <v>96</v>
      </c>
    </row>
    <row r="23" customFormat="false" ht="15" hidden="false" customHeight="false" outlineLevel="0" collapsed="false">
      <c r="A23" s="8" t="s">
        <v>315</v>
      </c>
      <c r="B23" s="8" t="s">
        <v>333</v>
      </c>
      <c r="C23" s="8" t="s">
        <v>312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 t="s">
        <v>317</v>
      </c>
      <c r="O23" s="8" t="s">
        <v>313</v>
      </c>
      <c r="P23" s="8" t="s">
        <v>334</v>
      </c>
      <c r="Q23" s="9" t="s">
        <v>96</v>
      </c>
    </row>
    <row r="24" customFormat="false" ht="15" hidden="false" customHeight="false" outlineLevel="0" collapsed="false">
      <c r="A24" s="8" t="s">
        <v>335</v>
      </c>
      <c r="B24" s="8" t="s">
        <v>336</v>
      </c>
      <c r="C24" s="8" t="s">
        <v>90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 t="s">
        <v>337</v>
      </c>
      <c r="O24" s="8" t="s">
        <v>338</v>
      </c>
      <c r="P24" s="8" t="s">
        <v>339</v>
      </c>
      <c r="Q24" s="9" t="s">
        <v>96</v>
      </c>
    </row>
    <row r="26" customFormat="false" ht="15" hidden="false" customHeight="false" outlineLevel="0" collapsed="false">
      <c r="A26" s="2" t="s">
        <v>340</v>
      </c>
    </row>
    <row r="27" customFormat="false" ht="15" hidden="false" customHeight="false" outlineLevel="0" collapsed="false">
      <c r="A27" s="2" t="s">
        <v>341</v>
      </c>
    </row>
    <row r="28" customFormat="false" ht="15" hidden="false" customHeight="false" outlineLevel="0" collapsed="false">
      <c r="A28" s="2" t="s">
        <v>342</v>
      </c>
    </row>
  </sheetData>
  <autoFilter ref="A4:Q24"/>
  <hyperlinks>
    <hyperlink ref="Q5" r:id="rId1" display="datasheet"/>
    <hyperlink ref="Q6" r:id="rId2" display="datasheet"/>
    <hyperlink ref="Q7" r:id="rId3" display="datasheet"/>
    <hyperlink ref="Q8" r:id="rId4" display="datasheet"/>
    <hyperlink ref="Q9" r:id="rId5" display="datasheet"/>
    <hyperlink ref="Q10" r:id="rId6" display="datasheet"/>
    <hyperlink ref="Q11" r:id="rId7" display="datasheet"/>
    <hyperlink ref="Q12" r:id="rId8" display="datasheet"/>
    <hyperlink ref="Q13" r:id="rId9" display="datasheet"/>
    <hyperlink ref="Q14" r:id="rId10" display="datasheet"/>
    <hyperlink ref="Q15" r:id="rId11" display="datasheet"/>
    <hyperlink ref="Q16" r:id="rId12" display="datasheet"/>
    <hyperlink ref="Q17" r:id="rId13" display="datasheet"/>
    <hyperlink ref="Q18" r:id="rId14" display="datasheet"/>
    <hyperlink ref="Q19" r:id="rId15" display="datasheet"/>
    <hyperlink ref="Q20" r:id="rId16" display="datasheet"/>
    <hyperlink ref="Q21" r:id="rId17" display="datasheet"/>
    <hyperlink ref="Q22" r:id="rId18" display="datasheet"/>
    <hyperlink ref="Q23" r:id="rId19" display="datasheet"/>
    <hyperlink ref="Q24" r:id="rId20" display="datashee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4"/>
    <col collapsed="false" customWidth="true" hidden="false" outlineLevel="0" max="3" min="3" style="0" width="20"/>
    <col collapsed="false" customWidth="true" hidden="false" outlineLevel="0" max="4" min="4" style="0" width="24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26"/>
    <col collapsed="false" customWidth="true" hidden="false" outlineLevel="0" max="9" min="9" style="0" width="24"/>
    <col collapsed="false" customWidth="true" hidden="false" outlineLevel="0" max="10" min="10" style="0" width="52"/>
    <col collapsed="false" customWidth="true" hidden="false" outlineLevel="0" max="11" min="11" style="0" width="30"/>
  </cols>
  <sheetData>
    <row r="1" customFormat="false" ht="19.5" hidden="false" customHeight="true" outlineLevel="0" collapsed="false">
      <c r="A1" s="6" t="s">
        <v>343</v>
      </c>
    </row>
    <row r="2" customFormat="false" ht="15" hidden="false" customHeight="false" outlineLevel="0" collapsed="false">
      <c r="A2" s="2" t="s">
        <v>344</v>
      </c>
    </row>
    <row r="4" customFormat="false" ht="33.75" hidden="false" customHeight="true" outlineLevel="0" collapsed="false">
      <c r="A4" s="7" t="s">
        <v>73</v>
      </c>
      <c r="B4" s="7" t="s">
        <v>345</v>
      </c>
      <c r="C4" s="7" t="s">
        <v>88</v>
      </c>
      <c r="D4" s="7" t="s">
        <v>346</v>
      </c>
      <c r="E4" s="7" t="s">
        <v>186</v>
      </c>
      <c r="F4" s="7" t="s">
        <v>347</v>
      </c>
      <c r="G4" s="7" t="s">
        <v>348</v>
      </c>
      <c r="H4" s="7" t="s">
        <v>349</v>
      </c>
      <c r="I4" s="7" t="s">
        <v>350</v>
      </c>
      <c r="J4" s="7" t="s">
        <v>351</v>
      </c>
      <c r="K4" s="7" t="s">
        <v>352</v>
      </c>
    </row>
    <row r="5" customFormat="false" ht="42" hidden="false" customHeight="true" outlineLevel="0" collapsed="false">
      <c r="A5" s="10" t="s">
        <v>353</v>
      </c>
      <c r="B5" s="10" t="s">
        <v>354</v>
      </c>
      <c r="C5" s="10" t="s">
        <v>89</v>
      </c>
      <c r="D5" s="10" t="s">
        <v>160</v>
      </c>
      <c r="E5" s="10" t="s">
        <v>355</v>
      </c>
      <c r="F5" s="10" t="s">
        <v>356</v>
      </c>
      <c r="G5" s="10" t="s">
        <v>266</v>
      </c>
      <c r="H5" s="10" t="s">
        <v>278</v>
      </c>
      <c r="I5" s="10" t="s">
        <v>357</v>
      </c>
      <c r="J5" s="10" t="s">
        <v>358</v>
      </c>
      <c r="K5" s="10" t="s">
        <v>359</v>
      </c>
    </row>
    <row r="6" customFormat="false" ht="42" hidden="false" customHeight="true" outlineLevel="0" collapsed="false">
      <c r="A6" s="10" t="s">
        <v>360</v>
      </c>
      <c r="B6" s="10" t="s">
        <v>361</v>
      </c>
      <c r="C6" s="10" t="s">
        <v>97</v>
      </c>
      <c r="D6" s="10" t="s">
        <v>166</v>
      </c>
      <c r="E6" s="10" t="s">
        <v>362</v>
      </c>
      <c r="F6" s="10" t="s">
        <v>363</v>
      </c>
      <c r="G6" s="10" t="s">
        <v>266</v>
      </c>
      <c r="H6" s="10" t="s">
        <v>281</v>
      </c>
      <c r="I6" s="10" t="s">
        <v>364</v>
      </c>
      <c r="J6" s="10" t="s">
        <v>365</v>
      </c>
      <c r="K6" s="10" t="s">
        <v>366</v>
      </c>
    </row>
    <row r="7" customFormat="false" ht="42" hidden="false" customHeight="true" outlineLevel="0" collapsed="false">
      <c r="A7" s="10" t="s">
        <v>367</v>
      </c>
      <c r="B7" s="10" t="s">
        <v>368</v>
      </c>
      <c r="C7" s="10" t="s">
        <v>369</v>
      </c>
      <c r="D7" s="10" t="s">
        <v>179</v>
      </c>
      <c r="E7" s="10" t="s">
        <v>207</v>
      </c>
      <c r="F7" s="10" t="s">
        <v>370</v>
      </c>
      <c r="G7" s="10" t="s">
        <v>370</v>
      </c>
      <c r="H7" s="10" t="s">
        <v>299</v>
      </c>
      <c r="I7" s="10" t="s">
        <v>371</v>
      </c>
      <c r="J7" s="10" t="s">
        <v>372</v>
      </c>
      <c r="K7" s="10" t="s">
        <v>373</v>
      </c>
    </row>
    <row r="8" customFormat="false" ht="42" hidden="false" customHeight="true" outlineLevel="0" collapsed="false">
      <c r="A8" s="10" t="s">
        <v>374</v>
      </c>
      <c r="B8" s="10" t="s">
        <v>375</v>
      </c>
      <c r="C8" s="10" t="s">
        <v>376</v>
      </c>
      <c r="D8" s="10" t="s">
        <v>176</v>
      </c>
      <c r="E8" s="10" t="s">
        <v>194</v>
      </c>
      <c r="F8" s="10" t="s">
        <v>249</v>
      </c>
      <c r="G8" s="10" t="s">
        <v>270</v>
      </c>
      <c r="H8" s="10" t="s">
        <v>377</v>
      </c>
      <c r="I8" s="10" t="s">
        <v>378</v>
      </c>
      <c r="J8" s="10" t="s">
        <v>379</v>
      </c>
      <c r="K8" s="10" t="s">
        <v>366</v>
      </c>
    </row>
    <row r="9" customFormat="false" ht="42" hidden="false" customHeight="true" outlineLevel="0" collapsed="false">
      <c r="A9" s="10" t="s">
        <v>380</v>
      </c>
      <c r="B9" s="10" t="s">
        <v>381</v>
      </c>
      <c r="C9" s="10" t="s">
        <v>370</v>
      </c>
      <c r="D9" s="10" t="s">
        <v>170</v>
      </c>
      <c r="E9" s="10" t="s">
        <v>202</v>
      </c>
      <c r="F9" s="10" t="s">
        <v>370</v>
      </c>
      <c r="G9" s="10" t="s">
        <v>370</v>
      </c>
      <c r="H9" s="10" t="s">
        <v>290</v>
      </c>
      <c r="I9" s="10" t="s">
        <v>382</v>
      </c>
      <c r="J9" s="10" t="s">
        <v>383</v>
      </c>
      <c r="K9" s="10" t="s">
        <v>384</v>
      </c>
    </row>
    <row r="10" customFormat="false" ht="42" hidden="false" customHeight="true" outlineLevel="0" collapsed="false">
      <c r="A10" s="10" t="s">
        <v>385</v>
      </c>
      <c r="B10" s="10" t="s">
        <v>386</v>
      </c>
      <c r="C10" s="10" t="s">
        <v>387</v>
      </c>
      <c r="D10" s="10" t="s">
        <v>174</v>
      </c>
      <c r="E10" s="10" t="s">
        <v>388</v>
      </c>
      <c r="F10" s="10" t="s">
        <v>370</v>
      </c>
      <c r="G10" s="10" t="s">
        <v>370</v>
      </c>
      <c r="H10" s="10" t="s">
        <v>389</v>
      </c>
      <c r="I10" s="10" t="s">
        <v>329</v>
      </c>
      <c r="J10" s="10" t="s">
        <v>390</v>
      </c>
      <c r="K10" s="10" t="s">
        <v>391</v>
      </c>
    </row>
    <row r="11" customFormat="false" ht="42" hidden="false" customHeight="true" outlineLevel="0" collapsed="false">
      <c r="A11" s="10" t="s">
        <v>392</v>
      </c>
      <c r="B11" s="10" t="s">
        <v>393</v>
      </c>
      <c r="C11" s="10" t="s">
        <v>394</v>
      </c>
      <c r="D11" s="10" t="s">
        <v>181</v>
      </c>
      <c r="E11" s="10" t="s">
        <v>395</v>
      </c>
      <c r="F11" s="10" t="s">
        <v>252</v>
      </c>
      <c r="G11" s="10" t="s">
        <v>370</v>
      </c>
      <c r="H11" s="10" t="s">
        <v>396</v>
      </c>
      <c r="I11" s="10" t="s">
        <v>397</v>
      </c>
      <c r="J11" s="10" t="s">
        <v>398</v>
      </c>
      <c r="K11" s="10" t="s">
        <v>399</v>
      </c>
    </row>
    <row r="12" customFormat="false" ht="42" hidden="false" customHeight="true" outlineLevel="0" collapsed="false">
      <c r="A12" s="10" t="s">
        <v>400</v>
      </c>
      <c r="B12" s="10" t="s">
        <v>401</v>
      </c>
      <c r="C12" s="10" t="s">
        <v>136</v>
      </c>
      <c r="D12" s="10" t="s">
        <v>370</v>
      </c>
      <c r="E12" s="10" t="s">
        <v>402</v>
      </c>
      <c r="F12" s="10" t="s">
        <v>252</v>
      </c>
      <c r="G12" s="10" t="s">
        <v>403</v>
      </c>
      <c r="H12" s="10" t="s">
        <v>295</v>
      </c>
      <c r="I12" s="10" t="s">
        <v>404</v>
      </c>
      <c r="J12" s="10" t="s">
        <v>405</v>
      </c>
      <c r="K12" s="10" t="s">
        <v>406</v>
      </c>
    </row>
    <row r="13" customFormat="false" ht="42" hidden="false" customHeight="true" outlineLevel="0" collapsed="false">
      <c r="A13" s="10" t="s">
        <v>407</v>
      </c>
      <c r="B13" s="10" t="s">
        <v>408</v>
      </c>
      <c r="C13" s="10" t="s">
        <v>409</v>
      </c>
      <c r="D13" s="10" t="s">
        <v>410</v>
      </c>
      <c r="E13" s="10" t="s">
        <v>411</v>
      </c>
      <c r="F13" s="10" t="s">
        <v>412</v>
      </c>
      <c r="G13" s="10" t="s">
        <v>413</v>
      </c>
      <c r="H13" s="10" t="s">
        <v>414</v>
      </c>
      <c r="I13" s="10" t="s">
        <v>415</v>
      </c>
      <c r="J13" s="10" t="s">
        <v>416</v>
      </c>
      <c r="K13" s="10" t="s">
        <v>417</v>
      </c>
    </row>
    <row r="14" customFormat="false" ht="42" hidden="false" customHeight="true" outlineLevel="0" collapsed="false">
      <c r="A14" s="10" t="s">
        <v>418</v>
      </c>
      <c r="B14" s="10" t="s">
        <v>419</v>
      </c>
      <c r="C14" s="10" t="s">
        <v>370</v>
      </c>
      <c r="D14" s="10" t="s">
        <v>420</v>
      </c>
      <c r="E14" s="10" t="s">
        <v>235</v>
      </c>
      <c r="F14" s="10" t="s">
        <v>370</v>
      </c>
      <c r="G14" s="10" t="s">
        <v>421</v>
      </c>
      <c r="H14" s="10" t="s">
        <v>422</v>
      </c>
      <c r="I14" s="10" t="s">
        <v>423</v>
      </c>
      <c r="J14" s="10" t="s">
        <v>424</v>
      </c>
      <c r="K14" s="10" t="s">
        <v>417</v>
      </c>
    </row>
    <row r="16" customFormat="false" ht="15" hidden="false" customHeight="false" outlineLevel="0" collapsed="false">
      <c r="A16" s="2" t="s">
        <v>425</v>
      </c>
    </row>
    <row r="17" customFormat="false" ht="15" hidden="false" customHeight="false" outlineLevel="0" collapsed="false">
      <c r="A17" s="2" t="s">
        <v>426</v>
      </c>
    </row>
  </sheetData>
  <autoFilter ref="A4:K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9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0"/>
    <col collapsed="false" customWidth="true" hidden="false" outlineLevel="0" max="3" min="3" style="0" width="20"/>
    <col collapsed="false" customWidth="true" hidden="false" outlineLevel="0" max="6" min="4" style="0" width="9"/>
    <col collapsed="false" customWidth="true" hidden="false" outlineLevel="0" max="9" min="7" style="0" width="10"/>
    <col collapsed="false" customWidth="true" hidden="false" outlineLevel="0" max="10" min="10" style="0" width="12"/>
    <col collapsed="false" customWidth="true" hidden="false" outlineLevel="0" max="21" min="11" style="0" width="9"/>
    <col collapsed="false" customWidth="true" hidden="false" outlineLevel="0" max="23" min="22" style="0" width="30"/>
    <col collapsed="false" customWidth="true" hidden="false" outlineLevel="0" max="24" min="24" style="0" width="18"/>
    <col collapsed="false" customWidth="true" hidden="false" outlineLevel="0" max="25" min="25" style="0" width="11"/>
  </cols>
  <sheetData>
    <row r="1" customFormat="false" ht="19.5" hidden="false" customHeight="true" outlineLevel="0" collapsed="false">
      <c r="A1" s="6" t="s">
        <v>427</v>
      </c>
    </row>
    <row r="2" customFormat="false" ht="15" hidden="false" customHeight="false" outlineLevel="0" collapsed="false">
      <c r="A2" s="2" t="s">
        <v>428</v>
      </c>
    </row>
    <row r="3" customFormat="false" ht="15" hidden="false" customHeight="false" outlineLevel="0" collapsed="false">
      <c r="A3" s="11" t="s">
        <v>429</v>
      </c>
      <c r="M3" s="12" t="s">
        <v>160</v>
      </c>
      <c r="N3" s="12" t="s">
        <v>166</v>
      </c>
      <c r="O3" s="12" t="s">
        <v>179</v>
      </c>
      <c r="P3" s="12" t="s">
        <v>176</v>
      </c>
      <c r="Q3" s="12" t="s">
        <v>174</v>
      </c>
      <c r="R3" s="12" t="s">
        <v>170</v>
      </c>
      <c r="S3" s="12" t="s">
        <v>181</v>
      </c>
      <c r="T3" s="12" t="s">
        <v>136</v>
      </c>
      <c r="U3" s="12" t="s">
        <v>101</v>
      </c>
    </row>
    <row r="4" customFormat="false" ht="33.75" hidden="false" customHeight="true" outlineLevel="0" collapsed="false">
      <c r="A4" s="7" t="s">
        <v>430</v>
      </c>
      <c r="B4" s="7" t="s">
        <v>431</v>
      </c>
      <c r="C4" s="7" t="s">
        <v>432</v>
      </c>
      <c r="D4" s="7" t="s">
        <v>433</v>
      </c>
      <c r="E4" s="7" t="s">
        <v>434</v>
      </c>
      <c r="F4" s="7" t="s">
        <v>435</v>
      </c>
      <c r="G4" s="7" t="s">
        <v>436</v>
      </c>
      <c r="H4" s="7" t="s">
        <v>437</v>
      </c>
      <c r="I4" s="7" t="s">
        <v>438</v>
      </c>
      <c r="J4" s="7" t="s">
        <v>439</v>
      </c>
      <c r="K4" s="7" t="s">
        <v>440</v>
      </c>
      <c r="L4" s="7" t="s">
        <v>441</v>
      </c>
      <c r="M4" s="7" t="s">
        <v>442</v>
      </c>
      <c r="N4" s="7" t="s">
        <v>443</v>
      </c>
      <c r="O4" s="7" t="s">
        <v>444</v>
      </c>
      <c r="P4" s="7" t="s">
        <v>445</v>
      </c>
      <c r="Q4" s="7" t="s">
        <v>446</v>
      </c>
      <c r="R4" s="7" t="s">
        <v>447</v>
      </c>
      <c r="S4" s="7" t="s">
        <v>448</v>
      </c>
      <c r="T4" s="7" t="s">
        <v>449</v>
      </c>
      <c r="U4" s="7" t="s">
        <v>450</v>
      </c>
      <c r="V4" s="7" t="s">
        <v>451</v>
      </c>
      <c r="W4" s="7" t="s">
        <v>452</v>
      </c>
      <c r="X4" s="7" t="s">
        <v>453</v>
      </c>
      <c r="Y4" s="7" t="s">
        <v>87</v>
      </c>
    </row>
    <row r="5" customFormat="false" ht="15" hidden="false" customHeight="false" outlineLevel="0" collapsed="false">
      <c r="A5" s="8" t="s">
        <v>454</v>
      </c>
      <c r="B5" s="8" t="s">
        <v>455</v>
      </c>
      <c r="C5" s="8" t="s">
        <v>456</v>
      </c>
      <c r="D5" s="8" t="n">
        <v>76</v>
      </c>
      <c r="E5" s="8" t="n">
        <v>71</v>
      </c>
      <c r="F5" s="8" t="n">
        <v>70.4</v>
      </c>
      <c r="G5" s="8" t="n">
        <v>5350</v>
      </c>
      <c r="H5" s="8" t="n">
        <v>0.93</v>
      </c>
      <c r="I5" s="8" t="n">
        <v>97</v>
      </c>
      <c r="J5" s="13" t="n">
        <f aca="false">IF(AND(ISNUMBER(D5),ISNUMBER(I5)),D5*I5,"")</f>
        <v>7372</v>
      </c>
      <c r="K5" s="8" t="n">
        <v>52.8</v>
      </c>
      <c r="L5" s="8" t="n">
        <v>28</v>
      </c>
      <c r="M5" s="8" t="n">
        <v>2000</v>
      </c>
      <c r="N5" s="8" t="n">
        <v>2200</v>
      </c>
      <c r="O5" s="8" t="n">
        <v>2250</v>
      </c>
      <c r="P5" s="8"/>
      <c r="Q5" s="8"/>
      <c r="R5" s="8"/>
      <c r="S5" s="8"/>
      <c r="T5" s="8"/>
      <c r="U5" s="8"/>
      <c r="V5" s="8"/>
      <c r="W5" s="8" t="s">
        <v>457</v>
      </c>
      <c r="X5" s="8" t="s">
        <v>458</v>
      </c>
      <c r="Y5" s="9" t="s">
        <v>96</v>
      </c>
    </row>
    <row r="6" customFormat="false" ht="15" hidden="false" customHeight="false" outlineLevel="0" collapsed="false">
      <c r="A6" s="8" t="s">
        <v>454</v>
      </c>
      <c r="B6" s="8" t="s">
        <v>459</v>
      </c>
      <c r="C6" s="8" t="s">
        <v>456</v>
      </c>
      <c r="D6" s="8" t="n">
        <v>97.1</v>
      </c>
      <c r="E6" s="8" t="n">
        <v>91.6</v>
      </c>
      <c r="F6" s="8" t="n">
        <v>78.6</v>
      </c>
      <c r="G6" s="8" t="n">
        <v>7630</v>
      </c>
      <c r="H6" s="8" t="n">
        <v>0.81</v>
      </c>
      <c r="I6" s="8" t="n">
        <v>122</v>
      </c>
      <c r="J6" s="13" t="n">
        <f aca="false">IF(AND(ISNUMBER(D6),ISNUMBER(I6)),D6*I6,"")</f>
        <v>11846.2</v>
      </c>
      <c r="K6" s="8" t="n">
        <v>60.5</v>
      </c>
      <c r="L6" s="8" t="n">
        <v>40</v>
      </c>
      <c r="M6" s="8" t="n">
        <v>2400</v>
      </c>
      <c r="N6" s="8" t="n">
        <v>2600</v>
      </c>
      <c r="O6" s="8" t="n">
        <v>2650</v>
      </c>
      <c r="P6" s="8" t="n">
        <v>3300</v>
      </c>
      <c r="Q6" s="8"/>
      <c r="R6" s="8"/>
      <c r="S6" s="8"/>
      <c r="T6" s="8"/>
      <c r="U6" s="8"/>
      <c r="V6" s="8"/>
      <c r="W6" s="8" t="s">
        <v>460</v>
      </c>
      <c r="X6" s="8" t="s">
        <v>461</v>
      </c>
      <c r="Y6" s="9" t="s">
        <v>96</v>
      </c>
    </row>
    <row r="7" customFormat="false" ht="15" hidden="false" customHeight="false" outlineLevel="0" collapsed="false">
      <c r="A7" s="8" t="s">
        <v>454</v>
      </c>
      <c r="B7" s="8" t="s">
        <v>462</v>
      </c>
      <c r="C7" s="8" t="s">
        <v>456</v>
      </c>
      <c r="D7" s="8" t="n">
        <v>125</v>
      </c>
      <c r="E7" s="8" t="n">
        <v>123</v>
      </c>
      <c r="F7" s="8" t="n">
        <v>92.2</v>
      </c>
      <c r="G7" s="8" t="n">
        <v>11500</v>
      </c>
      <c r="H7" s="8" t="n">
        <v>0.74</v>
      </c>
      <c r="I7" s="8" t="n">
        <v>178</v>
      </c>
      <c r="J7" s="13" t="n">
        <f aca="false">IF(AND(ISNUMBER(D7),ISNUMBER(I7)),D7*I7,"")</f>
        <v>22250</v>
      </c>
      <c r="K7" s="8" t="n">
        <v>69</v>
      </c>
      <c r="L7" s="8" t="n">
        <v>60</v>
      </c>
      <c r="M7" s="8" t="n">
        <v>2550</v>
      </c>
      <c r="N7" s="8" t="n">
        <v>2700</v>
      </c>
      <c r="O7" s="8" t="n">
        <v>2800</v>
      </c>
      <c r="P7" s="8"/>
      <c r="Q7" s="8"/>
      <c r="R7" s="8"/>
      <c r="S7" s="8"/>
      <c r="T7" s="8"/>
      <c r="U7" s="8"/>
      <c r="V7" s="8"/>
      <c r="W7" s="8" t="s">
        <v>463</v>
      </c>
      <c r="X7" s="8" t="s">
        <v>464</v>
      </c>
      <c r="Y7" s="9" t="s">
        <v>96</v>
      </c>
    </row>
    <row r="8" customFormat="false" ht="15" hidden="false" customHeight="false" outlineLevel="0" collapsed="false">
      <c r="A8" s="8" t="s">
        <v>454</v>
      </c>
      <c r="B8" s="8" t="s">
        <v>465</v>
      </c>
      <c r="C8" s="8" t="s">
        <v>456</v>
      </c>
      <c r="D8" s="8" t="n">
        <v>173</v>
      </c>
      <c r="E8" s="8" t="n">
        <v>172</v>
      </c>
      <c r="F8" s="8" t="n">
        <v>103</v>
      </c>
      <c r="G8" s="8" t="n">
        <v>17800</v>
      </c>
      <c r="H8" s="8" t="n">
        <v>0.6</v>
      </c>
      <c r="I8" s="8" t="n">
        <v>210</v>
      </c>
      <c r="J8" s="13" t="n">
        <f aca="false">IF(AND(ISNUMBER(D8),ISNUMBER(I8)),D8*I8,"")</f>
        <v>36330</v>
      </c>
      <c r="K8" s="8" t="n">
        <v>77.7</v>
      </c>
      <c r="L8" s="8" t="n">
        <v>94</v>
      </c>
      <c r="M8" s="8" t="n">
        <v>3300</v>
      </c>
      <c r="N8" s="8" t="n">
        <v>3500</v>
      </c>
      <c r="O8" s="8" t="n">
        <v>3600</v>
      </c>
      <c r="P8" s="8" t="n">
        <v>4400</v>
      </c>
      <c r="Q8" s="8"/>
      <c r="R8" s="8"/>
      <c r="S8" s="8"/>
      <c r="T8" s="8"/>
      <c r="U8" s="8"/>
      <c r="V8" s="8"/>
      <c r="W8" s="8" t="s">
        <v>466</v>
      </c>
      <c r="X8" s="8" t="s">
        <v>467</v>
      </c>
      <c r="Y8" s="9" t="s">
        <v>96</v>
      </c>
    </row>
    <row r="9" customFormat="false" ht="15" hidden="false" customHeight="false" outlineLevel="0" collapsed="false">
      <c r="A9" s="8" t="s">
        <v>454</v>
      </c>
      <c r="B9" s="8" t="s">
        <v>468</v>
      </c>
      <c r="C9" s="8" t="s">
        <v>456</v>
      </c>
      <c r="D9" s="8" t="n">
        <v>211</v>
      </c>
      <c r="E9" s="8" t="n">
        <v>209</v>
      </c>
      <c r="F9" s="8" t="n">
        <v>114</v>
      </c>
      <c r="G9" s="8" t="n">
        <v>24100</v>
      </c>
      <c r="H9" s="8" t="n">
        <v>0.54</v>
      </c>
      <c r="I9" s="8" t="n">
        <v>269.4</v>
      </c>
      <c r="J9" s="13" t="n">
        <f aca="false">IF(AND(ISNUMBER(D9),ISNUMBER(I9)),D9*I9,"")</f>
        <v>56843.4</v>
      </c>
      <c r="K9" s="8" t="n">
        <v>86</v>
      </c>
      <c r="L9" s="8" t="n">
        <v>124</v>
      </c>
      <c r="M9" s="8" t="n">
        <v>3700</v>
      </c>
      <c r="N9" s="8" t="n">
        <v>3800</v>
      </c>
      <c r="O9" s="8" t="n">
        <v>3900</v>
      </c>
      <c r="P9" s="8"/>
      <c r="Q9" s="8"/>
      <c r="R9" s="8"/>
      <c r="S9" s="8"/>
      <c r="T9" s="8"/>
      <c r="U9" s="8"/>
      <c r="V9" s="8"/>
      <c r="W9" s="8" t="s">
        <v>469</v>
      </c>
      <c r="X9" s="8" t="s">
        <v>470</v>
      </c>
      <c r="Y9" s="9" t="s">
        <v>96</v>
      </c>
    </row>
    <row r="10" customFormat="false" ht="15" hidden="false" customHeight="false" outlineLevel="0" collapsed="false">
      <c r="A10" s="8" t="s">
        <v>454</v>
      </c>
      <c r="B10" s="8" t="s">
        <v>471</v>
      </c>
      <c r="C10" s="8" t="s">
        <v>456</v>
      </c>
      <c r="D10" s="8" t="n">
        <v>280</v>
      </c>
      <c r="E10" s="8" t="n">
        <v>280</v>
      </c>
      <c r="F10" s="8" t="n">
        <v>127</v>
      </c>
      <c r="G10" s="8" t="n">
        <v>35600</v>
      </c>
      <c r="H10" s="8" t="n">
        <v>0.45</v>
      </c>
      <c r="I10" s="8" t="n">
        <v>315.6</v>
      </c>
      <c r="J10" s="13" t="n">
        <f aca="false">IF(AND(ISNUMBER(D10),ISNUMBER(I10)),D10*I10,"")</f>
        <v>88368</v>
      </c>
      <c r="K10" s="8" t="n">
        <v>96</v>
      </c>
      <c r="L10" s="8" t="n">
        <v>180</v>
      </c>
      <c r="M10" s="8" t="n">
        <v>4200</v>
      </c>
      <c r="N10" s="8" t="n">
        <v>4450</v>
      </c>
      <c r="O10" s="8" t="n">
        <v>4600</v>
      </c>
      <c r="P10" s="8"/>
      <c r="Q10" s="8"/>
      <c r="R10" s="8"/>
      <c r="S10" s="8"/>
      <c r="T10" s="8"/>
      <c r="U10" s="8"/>
      <c r="V10" s="8"/>
      <c r="W10" s="8" t="s">
        <v>472</v>
      </c>
      <c r="X10" s="8" t="s">
        <v>473</v>
      </c>
      <c r="Y10" s="9" t="s">
        <v>96</v>
      </c>
    </row>
    <row r="11" customFormat="false" ht="15" hidden="false" customHeight="false" outlineLevel="0" collapsed="false">
      <c r="A11" s="8" t="s">
        <v>454</v>
      </c>
      <c r="B11" s="8" t="s">
        <v>474</v>
      </c>
      <c r="C11" s="8" t="s">
        <v>456</v>
      </c>
      <c r="D11" s="8" t="n">
        <v>368</v>
      </c>
      <c r="E11" s="8" t="n">
        <v>368</v>
      </c>
      <c r="F11" s="8" t="n">
        <v>139</v>
      </c>
      <c r="G11" s="8" t="n">
        <v>51200</v>
      </c>
      <c r="H11" s="8" t="n">
        <v>0.38</v>
      </c>
      <c r="I11" s="8" t="n">
        <v>365.6</v>
      </c>
      <c r="J11" s="13" t="n">
        <f aca="false">IF(AND(ISNUMBER(D11),ISNUMBER(I11)),D11*I11,"")</f>
        <v>134540.8</v>
      </c>
      <c r="K11" s="8" t="n">
        <v>106.1</v>
      </c>
      <c r="L11" s="8" t="n">
        <v>260</v>
      </c>
      <c r="M11" s="8" t="n">
        <v>5000</v>
      </c>
      <c r="N11" s="8" t="n">
        <v>5300</v>
      </c>
      <c r="O11" s="8" t="n">
        <v>5500</v>
      </c>
      <c r="P11" s="8" t="n">
        <v>6600</v>
      </c>
      <c r="Q11" s="8"/>
      <c r="R11" s="8"/>
      <c r="S11" s="8"/>
      <c r="T11" s="8"/>
      <c r="U11" s="8"/>
      <c r="V11" s="8"/>
      <c r="W11" s="8" t="s">
        <v>475</v>
      </c>
      <c r="X11" s="8" t="s">
        <v>476</v>
      </c>
      <c r="Y11" s="9" t="s">
        <v>96</v>
      </c>
    </row>
    <row r="12" customFormat="false" ht="15" hidden="false" customHeight="false" outlineLevel="0" collapsed="false">
      <c r="A12" s="8" t="s">
        <v>477</v>
      </c>
      <c r="B12" s="8" t="s">
        <v>478</v>
      </c>
      <c r="C12" s="8" t="s">
        <v>479</v>
      </c>
      <c r="D12" s="8" t="n">
        <v>12.4</v>
      </c>
      <c r="E12" s="8" t="n">
        <v>12.2</v>
      </c>
      <c r="F12" s="8" t="n">
        <v>29.6</v>
      </c>
      <c r="G12" s="8" t="n">
        <v>367</v>
      </c>
      <c r="H12" s="8" t="n">
        <v>2.39</v>
      </c>
      <c r="I12" s="8" t="n">
        <v>11.6</v>
      </c>
      <c r="J12" s="13" t="n">
        <f aca="false">IF(AND(ISNUMBER(D12),ISNUMBER(I12)),D12*I12,"")</f>
        <v>143.84</v>
      </c>
      <c r="K12" s="8" t="n">
        <v>27.2</v>
      </c>
      <c r="L12" s="8" t="n">
        <v>2</v>
      </c>
      <c r="M12" s="8" t="n">
        <v>800</v>
      </c>
      <c r="N12" s="8" t="n">
        <v>850</v>
      </c>
      <c r="O12" s="8"/>
      <c r="P12" s="8"/>
      <c r="Q12" s="8"/>
      <c r="R12" s="8"/>
      <c r="S12" s="8"/>
      <c r="T12" s="8"/>
      <c r="U12" s="8"/>
      <c r="V12" s="8" t="s">
        <v>480</v>
      </c>
      <c r="W12" s="8" t="s">
        <v>481</v>
      </c>
      <c r="X12" s="8" t="s">
        <v>482</v>
      </c>
      <c r="Y12" s="9" t="s">
        <v>96</v>
      </c>
    </row>
    <row r="13" customFormat="false" ht="15" hidden="false" customHeight="false" outlineLevel="0" collapsed="false">
      <c r="A13" s="8" t="s">
        <v>477</v>
      </c>
      <c r="B13" s="8" t="s">
        <v>483</v>
      </c>
      <c r="C13" s="8" t="s">
        <v>479</v>
      </c>
      <c r="D13" s="8" t="n">
        <v>20.1</v>
      </c>
      <c r="E13" s="8" t="n">
        <v>19.4</v>
      </c>
      <c r="F13" s="8" t="n">
        <v>37.6</v>
      </c>
      <c r="G13" s="8" t="n">
        <v>756</v>
      </c>
      <c r="H13" s="8" t="n">
        <v>1.87</v>
      </c>
      <c r="I13" s="8" t="n">
        <v>22.3</v>
      </c>
      <c r="J13" s="13" t="n">
        <f aca="false">IF(AND(ISNUMBER(D13),ISNUMBER(I13)),D13*I13,"")</f>
        <v>448.23</v>
      </c>
      <c r="K13" s="8" t="n">
        <v>34</v>
      </c>
      <c r="L13" s="8" t="n">
        <v>3.6</v>
      </c>
      <c r="M13" s="8" t="n">
        <v>950</v>
      </c>
      <c r="N13" s="8" t="n">
        <v>1000</v>
      </c>
      <c r="O13" s="8" t="n">
        <v>1050</v>
      </c>
      <c r="P13" s="8"/>
      <c r="Q13" s="8"/>
      <c r="R13" s="8"/>
      <c r="S13" s="8"/>
      <c r="T13" s="8"/>
      <c r="U13" s="8"/>
      <c r="V13" s="8" t="s">
        <v>484</v>
      </c>
      <c r="W13" s="8" t="s">
        <v>485</v>
      </c>
      <c r="X13" s="8" t="s">
        <v>486</v>
      </c>
      <c r="Y13" s="9" t="s">
        <v>96</v>
      </c>
    </row>
    <row r="14" customFormat="false" ht="15" hidden="false" customHeight="false" outlineLevel="0" collapsed="false">
      <c r="A14" s="8" t="s">
        <v>477</v>
      </c>
      <c r="B14" s="8" t="s">
        <v>487</v>
      </c>
      <c r="C14" s="8" t="s">
        <v>479</v>
      </c>
      <c r="D14" s="8" t="n">
        <v>32.1</v>
      </c>
      <c r="E14" s="8" t="n">
        <v>31.9</v>
      </c>
      <c r="F14" s="8" t="n">
        <v>46.3</v>
      </c>
      <c r="G14" s="8" t="n">
        <v>1490</v>
      </c>
      <c r="H14" s="8" t="n">
        <v>1.44</v>
      </c>
      <c r="I14" s="8" t="n">
        <v>34</v>
      </c>
      <c r="J14" s="13" t="n">
        <f aca="false">IF(AND(ISNUMBER(D14),ISNUMBER(I14)),D14*I14,"")</f>
        <v>1091.4</v>
      </c>
      <c r="K14" s="8" t="n">
        <v>41.2</v>
      </c>
      <c r="L14" s="8" t="n">
        <v>7.3</v>
      </c>
      <c r="M14" s="8" t="n">
        <v>1300</v>
      </c>
      <c r="N14" s="8" t="n">
        <v>1470</v>
      </c>
      <c r="O14" s="8" t="n">
        <v>1500</v>
      </c>
      <c r="P14" s="8"/>
      <c r="Q14" s="8"/>
      <c r="R14" s="8"/>
      <c r="S14" s="8"/>
      <c r="T14" s="8"/>
      <c r="U14" s="8"/>
      <c r="V14" s="8" t="s">
        <v>488</v>
      </c>
      <c r="W14" s="8" t="s">
        <v>489</v>
      </c>
      <c r="X14" s="8" t="s">
        <v>490</v>
      </c>
      <c r="Y14" s="9" t="s">
        <v>96</v>
      </c>
    </row>
    <row r="15" customFormat="false" ht="15" hidden="false" customHeight="false" outlineLevel="0" collapsed="false">
      <c r="A15" s="8" t="s">
        <v>477</v>
      </c>
      <c r="B15" s="8" t="s">
        <v>491</v>
      </c>
      <c r="C15" s="8" t="s">
        <v>479</v>
      </c>
      <c r="D15" s="8" t="n">
        <v>52.5</v>
      </c>
      <c r="E15" s="8" t="n">
        <v>51.5</v>
      </c>
      <c r="F15" s="8" t="n">
        <v>57.5</v>
      </c>
      <c r="G15" s="8" t="n">
        <v>3020</v>
      </c>
      <c r="H15" s="8" t="n">
        <v>1.1</v>
      </c>
      <c r="I15" s="8" t="n">
        <v>61</v>
      </c>
      <c r="J15" s="13" t="n">
        <f aca="false">IF(AND(ISNUMBER(D15),ISNUMBER(I15)),D15*I15,"")</f>
        <v>3202.5</v>
      </c>
      <c r="K15" s="8" t="n">
        <v>50</v>
      </c>
      <c r="L15" s="8" t="n">
        <v>16</v>
      </c>
      <c r="M15" s="8" t="n">
        <v>1750</v>
      </c>
      <c r="N15" s="8" t="n">
        <v>1850</v>
      </c>
      <c r="O15" s="8" t="n">
        <v>1950</v>
      </c>
      <c r="P15" s="8"/>
      <c r="Q15" s="8"/>
      <c r="R15" s="8"/>
      <c r="S15" s="8"/>
      <c r="T15" s="8"/>
      <c r="U15" s="8"/>
      <c r="V15" s="8" t="s">
        <v>492</v>
      </c>
      <c r="W15" s="8" t="s">
        <v>493</v>
      </c>
      <c r="X15" s="8" t="s">
        <v>494</v>
      </c>
      <c r="Y15" s="9" t="s">
        <v>96</v>
      </c>
    </row>
    <row r="16" customFormat="false" ht="15" hidden="false" customHeight="false" outlineLevel="0" collapsed="false">
      <c r="A16" s="8" t="s">
        <v>477</v>
      </c>
      <c r="B16" s="8" t="s">
        <v>495</v>
      </c>
      <c r="C16" s="8" t="s">
        <v>479</v>
      </c>
      <c r="D16" s="8" t="n">
        <v>60</v>
      </c>
      <c r="E16" s="8" t="n">
        <v>49</v>
      </c>
      <c r="F16" s="8" t="n">
        <v>67</v>
      </c>
      <c r="G16" s="8" t="n">
        <v>4000</v>
      </c>
      <c r="H16" s="8" t="n">
        <v>1.12</v>
      </c>
      <c r="I16" s="8" t="n">
        <v>90</v>
      </c>
      <c r="J16" s="13" t="n">
        <f aca="false">IF(AND(ISNUMBER(D16),ISNUMBER(I16)),D16*I16,"")</f>
        <v>5400</v>
      </c>
      <c r="K16" s="8" t="n">
        <v>56</v>
      </c>
      <c r="L16" s="8" t="n">
        <v>22</v>
      </c>
      <c r="M16" s="8" t="n">
        <v>1700</v>
      </c>
      <c r="N16" s="8" t="n">
        <v>1900</v>
      </c>
      <c r="O16" s="8"/>
      <c r="P16" s="8"/>
      <c r="Q16" s="8"/>
      <c r="R16" s="8"/>
      <c r="S16" s="8"/>
      <c r="T16" s="8"/>
      <c r="U16" s="8"/>
      <c r="V16" s="8" t="s">
        <v>496</v>
      </c>
      <c r="W16" s="8" t="s">
        <v>497</v>
      </c>
      <c r="X16" s="8" t="s">
        <v>498</v>
      </c>
      <c r="Y16" s="9" t="s">
        <v>96</v>
      </c>
    </row>
    <row r="17" customFormat="false" ht="15" hidden="false" customHeight="false" outlineLevel="0" collapsed="false">
      <c r="A17" s="8" t="s">
        <v>477</v>
      </c>
      <c r="B17" s="8" t="s">
        <v>499</v>
      </c>
      <c r="C17" s="8" t="s">
        <v>479</v>
      </c>
      <c r="D17" s="8" t="n">
        <v>83</v>
      </c>
      <c r="E17" s="8" t="n">
        <v>81.4</v>
      </c>
      <c r="F17" s="8" t="n">
        <v>74</v>
      </c>
      <c r="G17" s="8" t="n">
        <v>6140</v>
      </c>
      <c r="H17" s="8" t="n">
        <v>0.89</v>
      </c>
      <c r="I17" s="8" t="n">
        <v>108.5</v>
      </c>
      <c r="J17" s="13" t="n">
        <f aca="false">IF(AND(ISNUMBER(D17),ISNUMBER(I17)),D17*I17,"")</f>
        <v>9005.5</v>
      </c>
      <c r="K17" s="8" t="n">
        <v>64.4</v>
      </c>
      <c r="L17" s="8" t="n">
        <v>30</v>
      </c>
      <c r="M17" s="8" t="n">
        <v>2100</v>
      </c>
      <c r="N17" s="8" t="n">
        <v>2300</v>
      </c>
      <c r="O17" s="8" t="n">
        <v>2400</v>
      </c>
      <c r="P17" s="8"/>
      <c r="Q17" s="8"/>
      <c r="R17" s="8"/>
      <c r="S17" s="8"/>
      <c r="T17" s="8"/>
      <c r="U17" s="8"/>
      <c r="V17" s="8" t="s">
        <v>500</v>
      </c>
      <c r="W17" s="8" t="s">
        <v>501</v>
      </c>
      <c r="X17" s="8" t="s">
        <v>461</v>
      </c>
      <c r="Y17" s="9" t="s">
        <v>96</v>
      </c>
    </row>
    <row r="18" customFormat="false" ht="15" hidden="false" customHeight="false" outlineLevel="0" collapsed="false">
      <c r="A18" s="8" t="s">
        <v>477</v>
      </c>
      <c r="B18" s="8" t="s">
        <v>502</v>
      </c>
      <c r="C18" s="8" t="s">
        <v>479</v>
      </c>
      <c r="D18" s="8" t="n">
        <v>120</v>
      </c>
      <c r="E18" s="8" t="n">
        <v>112</v>
      </c>
      <c r="F18" s="8" t="n">
        <v>81</v>
      </c>
      <c r="G18" s="8" t="n">
        <v>9720</v>
      </c>
      <c r="H18" s="8" t="n">
        <v>0.68</v>
      </c>
      <c r="I18" s="8" t="n">
        <v>122.55</v>
      </c>
      <c r="J18" s="13" t="n">
        <f aca="false">IF(AND(ISNUMBER(D18),ISNUMBER(I18)),D18*I18,"")</f>
        <v>14706</v>
      </c>
      <c r="K18" s="8" t="n">
        <v>76.4</v>
      </c>
      <c r="L18" s="8" t="n">
        <v>50</v>
      </c>
      <c r="M18" s="8" t="n">
        <v>2900</v>
      </c>
      <c r="N18" s="8" t="n">
        <v>3100</v>
      </c>
      <c r="O18" s="8"/>
      <c r="P18" s="8"/>
      <c r="Q18" s="8"/>
      <c r="R18" s="8"/>
      <c r="S18" s="8"/>
      <c r="T18" s="8"/>
      <c r="U18" s="8"/>
      <c r="V18" s="8"/>
      <c r="W18" s="8" t="s">
        <v>503</v>
      </c>
      <c r="X18" s="8" t="s">
        <v>464</v>
      </c>
      <c r="Y18" s="9" t="s">
        <v>96</v>
      </c>
    </row>
    <row r="19" customFormat="false" ht="15" hidden="false" customHeight="false" outlineLevel="0" collapsed="false">
      <c r="A19" s="8" t="s">
        <v>477</v>
      </c>
      <c r="B19" s="8" t="s">
        <v>504</v>
      </c>
      <c r="C19" s="8" t="s">
        <v>479</v>
      </c>
      <c r="D19" s="8" t="n">
        <v>234</v>
      </c>
      <c r="E19" s="8" t="n">
        <v>229</v>
      </c>
      <c r="F19" s="8" t="n">
        <v>97</v>
      </c>
      <c r="G19" s="8" t="n">
        <v>22700</v>
      </c>
      <c r="H19" s="8" t="n">
        <v>0.41</v>
      </c>
      <c r="I19" s="8" t="n">
        <v>172</v>
      </c>
      <c r="J19" s="13" t="n">
        <f aca="false">IF(AND(ISNUMBER(D19),ISNUMBER(I19)),D19*I19,"")</f>
        <v>40248</v>
      </c>
      <c r="K19" s="8" t="n">
        <v>100</v>
      </c>
      <c r="L19" s="8" t="n">
        <v>116</v>
      </c>
      <c r="M19" s="8" t="n">
        <v>4750</v>
      </c>
      <c r="N19" s="8" t="n">
        <v>5200</v>
      </c>
      <c r="O19" s="8" t="n">
        <v>5400</v>
      </c>
      <c r="P19" s="8" t="n">
        <v>6700</v>
      </c>
      <c r="Q19" s="8"/>
      <c r="R19" s="8"/>
      <c r="S19" s="8"/>
      <c r="T19" s="8"/>
      <c r="U19" s="8"/>
      <c r="V19" s="8"/>
      <c r="W19" s="8" t="s">
        <v>505</v>
      </c>
      <c r="X19" s="8" t="s">
        <v>506</v>
      </c>
      <c r="Y19" s="9" t="s">
        <v>96</v>
      </c>
    </row>
    <row r="20" customFormat="false" ht="15" hidden="false" customHeight="false" outlineLevel="0" collapsed="false">
      <c r="A20" s="8" t="s">
        <v>477</v>
      </c>
      <c r="B20" s="8" t="s">
        <v>507</v>
      </c>
      <c r="C20" s="8" t="s">
        <v>479</v>
      </c>
      <c r="D20" s="8" t="n">
        <v>354</v>
      </c>
      <c r="E20" s="8" t="n">
        <v>351</v>
      </c>
      <c r="F20" s="8" t="n">
        <v>124</v>
      </c>
      <c r="G20" s="8" t="n">
        <v>43900</v>
      </c>
      <c r="H20" s="8" t="n">
        <v>0.35</v>
      </c>
      <c r="I20" s="8" t="n">
        <v>280</v>
      </c>
      <c r="J20" s="13" t="n">
        <f aca="false">IF(AND(ISNUMBER(D20),ISNUMBER(I20)),D20*I20,"")</f>
        <v>99120</v>
      </c>
      <c r="K20" s="8" t="n">
        <v>113</v>
      </c>
      <c r="L20" s="8" t="n">
        <v>215</v>
      </c>
      <c r="M20" s="8" t="n">
        <v>5800</v>
      </c>
      <c r="N20" s="8" t="n">
        <v>6400</v>
      </c>
      <c r="O20" s="8" t="n">
        <v>6700</v>
      </c>
      <c r="P20" s="8"/>
      <c r="Q20" s="8"/>
      <c r="R20" s="8" t="n">
        <v>5700</v>
      </c>
      <c r="S20" s="8"/>
      <c r="T20" s="8"/>
      <c r="U20" s="8"/>
      <c r="V20" s="8"/>
      <c r="W20" s="8" t="s">
        <v>508</v>
      </c>
      <c r="X20" s="8" t="s">
        <v>461</v>
      </c>
      <c r="Y20" s="9" t="s">
        <v>96</v>
      </c>
    </row>
    <row r="21" customFormat="false" ht="15" hidden="false" customHeight="false" outlineLevel="0" collapsed="false">
      <c r="A21" s="8" t="s">
        <v>477</v>
      </c>
      <c r="B21" s="8" t="s">
        <v>509</v>
      </c>
      <c r="C21" s="8" t="s">
        <v>479</v>
      </c>
      <c r="D21" s="8" t="n">
        <v>535</v>
      </c>
      <c r="E21" s="8" t="n">
        <v>529</v>
      </c>
      <c r="F21" s="8" t="n">
        <v>147</v>
      </c>
      <c r="G21" s="8" t="n">
        <v>78650</v>
      </c>
      <c r="H21" s="8" t="n">
        <v>0.27</v>
      </c>
      <c r="I21" s="8" t="n">
        <v>426</v>
      </c>
      <c r="J21" s="13" t="n">
        <f aca="false">IF(AND(ISNUMBER(D21),ISNUMBER(I21)),D21*I21,"")</f>
        <v>227910</v>
      </c>
      <c r="K21" s="8" t="n">
        <v>188</v>
      </c>
      <c r="L21" s="8" t="n">
        <v>394</v>
      </c>
      <c r="M21" s="8" t="n">
        <v>7200</v>
      </c>
      <c r="N21" s="8" t="n">
        <v>7900</v>
      </c>
      <c r="O21" s="8" t="n">
        <v>7900</v>
      </c>
      <c r="P21" s="8" t="n">
        <v>11000</v>
      </c>
      <c r="Q21" s="8" t="n">
        <v>5800</v>
      </c>
      <c r="R21" s="8" t="n">
        <v>7000</v>
      </c>
      <c r="S21" s="8"/>
      <c r="T21" s="8"/>
      <c r="U21" s="8"/>
      <c r="V21" s="8"/>
      <c r="W21" s="8" t="s">
        <v>510</v>
      </c>
      <c r="X21" s="8" t="s">
        <v>370</v>
      </c>
      <c r="Y21" s="9" t="s">
        <v>96</v>
      </c>
    </row>
    <row r="22" customFormat="false" ht="15" hidden="false" customHeight="false" outlineLevel="0" collapsed="false">
      <c r="A22" s="8" t="s">
        <v>511</v>
      </c>
      <c r="B22" s="8" t="s">
        <v>512</v>
      </c>
      <c r="C22" s="8" t="s">
        <v>513</v>
      </c>
      <c r="D22" s="8" t="n">
        <v>31</v>
      </c>
      <c r="E22" s="8" t="n">
        <v>31</v>
      </c>
      <c r="F22" s="8" t="n">
        <v>47</v>
      </c>
      <c r="G22" s="8" t="n">
        <v>1460</v>
      </c>
      <c r="H22" s="8" t="n">
        <v>1.52</v>
      </c>
      <c r="I22" s="8" t="n">
        <v>28.1</v>
      </c>
      <c r="J22" s="13" t="n">
        <f aca="false">IF(AND(ISNUMBER(D22),ISNUMBER(I22)),D22*I22,"")</f>
        <v>871.1</v>
      </c>
      <c r="K22" s="8" t="n">
        <v>40.2</v>
      </c>
      <c r="L22" s="8" t="n">
        <v>7.2</v>
      </c>
      <c r="M22" s="8"/>
      <c r="N22" s="8" t="n">
        <v>1200</v>
      </c>
      <c r="O22" s="8" t="n">
        <v>1250</v>
      </c>
      <c r="P22" s="8"/>
      <c r="Q22" s="8"/>
      <c r="R22" s="8"/>
      <c r="S22" s="8" t="n">
        <v>910</v>
      </c>
      <c r="T22" s="8" t="n">
        <v>560</v>
      </c>
      <c r="U22" s="8"/>
      <c r="V22" s="8"/>
      <c r="W22" s="8" t="s">
        <v>514</v>
      </c>
      <c r="X22" s="8" t="s">
        <v>486</v>
      </c>
      <c r="Y22" s="9" t="s">
        <v>96</v>
      </c>
    </row>
    <row r="23" customFormat="false" ht="15" hidden="false" customHeight="false" outlineLevel="0" collapsed="false">
      <c r="A23" s="8" t="s">
        <v>511</v>
      </c>
      <c r="B23" s="8" t="s">
        <v>515</v>
      </c>
      <c r="C23" s="8" t="s">
        <v>513</v>
      </c>
      <c r="D23" s="8" t="n">
        <v>58</v>
      </c>
      <c r="E23" s="8" t="n">
        <v>57</v>
      </c>
      <c r="F23" s="8" t="n">
        <v>57</v>
      </c>
      <c r="G23" s="8" t="n">
        <v>3310</v>
      </c>
      <c r="H23" s="8" t="n">
        <v>0.98</v>
      </c>
      <c r="I23" s="8" t="n">
        <v>40.7</v>
      </c>
      <c r="J23" s="13" t="n">
        <f aca="false">IF(AND(ISNUMBER(D23),ISNUMBER(I23)),D23*I23,"")</f>
        <v>2360.6</v>
      </c>
      <c r="K23" s="8" t="n">
        <v>50</v>
      </c>
      <c r="L23" s="8" t="n">
        <v>16.6</v>
      </c>
      <c r="M23" s="8"/>
      <c r="N23" s="8" t="n">
        <v>2000</v>
      </c>
      <c r="O23" s="8" t="n">
        <v>2100</v>
      </c>
      <c r="P23" s="8"/>
      <c r="Q23" s="8"/>
      <c r="R23" s="8"/>
      <c r="S23" s="8"/>
      <c r="T23" s="8" t="n">
        <v>900</v>
      </c>
      <c r="U23" s="8"/>
      <c r="V23" s="8"/>
      <c r="W23" s="8" t="s">
        <v>516</v>
      </c>
      <c r="X23" s="8" t="s">
        <v>494</v>
      </c>
      <c r="Y23" s="9" t="s">
        <v>96</v>
      </c>
    </row>
    <row r="24" customFormat="false" ht="15" hidden="false" customHeight="false" outlineLevel="0" collapsed="false">
      <c r="A24" s="8" t="s">
        <v>511</v>
      </c>
      <c r="B24" s="8" t="s">
        <v>517</v>
      </c>
      <c r="C24" s="8" t="s">
        <v>513</v>
      </c>
      <c r="D24" s="8" t="n">
        <v>69</v>
      </c>
      <c r="E24" s="8" t="n">
        <v>69</v>
      </c>
      <c r="F24" s="8" t="n">
        <v>68</v>
      </c>
      <c r="G24" s="8" t="n">
        <v>4690</v>
      </c>
      <c r="H24" s="8" t="n">
        <v>0.99</v>
      </c>
      <c r="I24" s="8" t="n">
        <v>52.3</v>
      </c>
      <c r="J24" s="13" t="n">
        <f aca="false">IF(AND(ISNUMBER(D24),ISNUMBER(I24)),D24*I24,"")</f>
        <v>3608.7</v>
      </c>
      <c r="K24" s="8" t="n">
        <v>56.7</v>
      </c>
      <c r="L24" s="8" t="n">
        <v>24</v>
      </c>
      <c r="M24" s="8"/>
      <c r="N24" s="8" t="n">
        <v>2050</v>
      </c>
      <c r="O24" s="8" t="n">
        <v>2150</v>
      </c>
      <c r="P24" s="8"/>
      <c r="Q24" s="8"/>
      <c r="R24" s="8"/>
      <c r="S24" s="8"/>
      <c r="T24" s="8" t="n">
        <v>830</v>
      </c>
      <c r="U24" s="8"/>
      <c r="V24" s="8"/>
      <c r="W24" s="8" t="s">
        <v>518</v>
      </c>
      <c r="X24" s="8" t="s">
        <v>519</v>
      </c>
      <c r="Y24" s="9" t="s">
        <v>96</v>
      </c>
    </row>
    <row r="25" customFormat="false" ht="15" hidden="false" customHeight="false" outlineLevel="0" collapsed="false">
      <c r="A25" s="8" t="s">
        <v>520</v>
      </c>
      <c r="B25" s="8" t="s">
        <v>521</v>
      </c>
      <c r="C25" s="8" t="s">
        <v>522</v>
      </c>
      <c r="D25" s="8" t="n">
        <v>64</v>
      </c>
      <c r="E25" s="8" t="n">
        <v>57.6</v>
      </c>
      <c r="F25" s="8" t="n">
        <v>37</v>
      </c>
      <c r="G25" s="8" t="n">
        <v>2367</v>
      </c>
      <c r="H25" s="8" t="n">
        <v>0.579</v>
      </c>
      <c r="I25" s="8" t="n">
        <v>21</v>
      </c>
      <c r="J25" s="13" t="n">
        <f aca="false">IF(AND(ISNUMBER(D25),ISNUMBER(I25)),D25*I25,"")</f>
        <v>1344</v>
      </c>
      <c r="K25" s="8" t="n">
        <v>44</v>
      </c>
      <c r="L25" s="8" t="n">
        <v>13</v>
      </c>
      <c r="M25" s="8"/>
      <c r="N25" s="8" t="n">
        <v>3100</v>
      </c>
      <c r="O25" s="8" t="n">
        <v>3200</v>
      </c>
      <c r="P25" s="8" t="n">
        <v>3750</v>
      </c>
      <c r="Q25" s="8" t="n">
        <v>2400</v>
      </c>
      <c r="R25" s="8"/>
      <c r="S25" s="8" t="n">
        <v>2400</v>
      </c>
      <c r="T25" s="8"/>
      <c r="U25" s="8"/>
      <c r="V25" s="8"/>
      <c r="W25" s="8" t="s">
        <v>523</v>
      </c>
      <c r="X25" s="8" t="s">
        <v>461</v>
      </c>
      <c r="Y25" s="9" t="s">
        <v>96</v>
      </c>
    </row>
    <row r="26" customFormat="false" ht="15" hidden="false" customHeight="false" outlineLevel="0" collapsed="false">
      <c r="A26" s="8" t="s">
        <v>520</v>
      </c>
      <c r="B26" s="8" t="s">
        <v>524</v>
      </c>
      <c r="C26" s="8" t="s">
        <v>522</v>
      </c>
      <c r="D26" s="8" t="n">
        <v>62.9</v>
      </c>
      <c r="E26" s="8" t="n">
        <v>54.4</v>
      </c>
      <c r="F26" s="8" t="n">
        <v>45.2</v>
      </c>
      <c r="G26" s="8" t="n">
        <v>2843</v>
      </c>
      <c r="H26" s="8" t="n">
        <v>0.718</v>
      </c>
      <c r="I26" s="8" t="n">
        <v>35</v>
      </c>
      <c r="J26" s="13" t="n">
        <f aca="false">IF(AND(ISNUMBER(D26),ISNUMBER(I26)),D26*I26,"")</f>
        <v>2201.5</v>
      </c>
      <c r="K26" s="8" t="n">
        <v>44</v>
      </c>
      <c r="L26" s="8" t="n">
        <v>15.6</v>
      </c>
      <c r="M26" s="8"/>
      <c r="N26" s="8" t="n">
        <v>2650</v>
      </c>
      <c r="O26" s="8" t="n">
        <v>2750</v>
      </c>
      <c r="P26" s="8" t="n">
        <v>3300</v>
      </c>
      <c r="Q26" s="8"/>
      <c r="R26" s="8"/>
      <c r="S26" s="8" t="n">
        <v>2000</v>
      </c>
      <c r="T26" s="8"/>
      <c r="U26" s="8"/>
      <c r="V26" s="8"/>
      <c r="W26" s="8" t="s">
        <v>523</v>
      </c>
      <c r="X26" s="8" t="s">
        <v>461</v>
      </c>
      <c r="Y26" s="9" t="s">
        <v>96</v>
      </c>
    </row>
    <row r="27" customFormat="false" ht="15" hidden="false" customHeight="false" outlineLevel="0" collapsed="false">
      <c r="A27" s="8" t="s">
        <v>520</v>
      </c>
      <c r="B27" s="8" t="s">
        <v>525</v>
      </c>
      <c r="C27" s="8" t="s">
        <v>522</v>
      </c>
      <c r="D27" s="8" t="n">
        <v>122.6</v>
      </c>
      <c r="E27" s="8" t="n">
        <v>108.8</v>
      </c>
      <c r="F27" s="8" t="n">
        <v>44.4</v>
      </c>
      <c r="G27" s="8" t="n">
        <v>5440</v>
      </c>
      <c r="H27" s="8" t="n">
        <v>0.362</v>
      </c>
      <c r="I27" s="8" t="n">
        <v>33</v>
      </c>
      <c r="J27" s="13" t="n">
        <f aca="false">IF(AND(ISNUMBER(D27),ISNUMBER(I27)),D27*I27,"")</f>
        <v>4045.8</v>
      </c>
      <c r="K27" s="8" t="n">
        <v>56</v>
      </c>
      <c r="L27" s="8" t="n">
        <v>31</v>
      </c>
      <c r="M27" s="8"/>
      <c r="N27" s="8" t="n">
        <v>5000</v>
      </c>
      <c r="O27" s="8" t="n">
        <v>5150</v>
      </c>
      <c r="P27" s="8" t="n">
        <v>6300</v>
      </c>
      <c r="Q27" s="8" t="n">
        <v>3850</v>
      </c>
      <c r="R27" s="8"/>
      <c r="S27" s="8" t="n">
        <v>3850</v>
      </c>
      <c r="T27" s="8"/>
      <c r="U27" s="8"/>
      <c r="V27" s="8"/>
      <c r="W27" s="8" t="s">
        <v>526</v>
      </c>
      <c r="X27" s="8" t="s">
        <v>519</v>
      </c>
      <c r="Y27" s="9" t="s">
        <v>96</v>
      </c>
    </row>
    <row r="28" customFormat="false" ht="15" hidden="false" customHeight="false" outlineLevel="0" collapsed="false">
      <c r="A28" s="8" t="s">
        <v>520</v>
      </c>
      <c r="B28" s="8" t="s">
        <v>527</v>
      </c>
      <c r="C28" s="8" t="s">
        <v>522</v>
      </c>
      <c r="D28" s="8" t="n">
        <v>122.2</v>
      </c>
      <c r="E28" s="8" t="n">
        <v>108.8</v>
      </c>
      <c r="F28" s="8" t="n">
        <v>53.5</v>
      </c>
      <c r="G28" s="8" t="n">
        <v>6540</v>
      </c>
      <c r="H28" s="8" t="n">
        <v>0.438</v>
      </c>
      <c r="I28" s="8" t="n">
        <v>47</v>
      </c>
      <c r="J28" s="13" t="n">
        <f aca="false">IF(AND(ISNUMBER(D28),ISNUMBER(I28)),D28*I28,"")</f>
        <v>5743.4</v>
      </c>
      <c r="K28" s="8" t="n">
        <v>56</v>
      </c>
      <c r="L28" s="8" t="n">
        <v>36</v>
      </c>
      <c r="M28" s="8"/>
      <c r="N28" s="8" t="n">
        <v>4500</v>
      </c>
      <c r="O28" s="8" t="n">
        <v>4650</v>
      </c>
      <c r="P28" s="8" t="n">
        <v>5700</v>
      </c>
      <c r="Q28" s="8"/>
      <c r="R28" s="8"/>
      <c r="S28" s="8" t="n">
        <v>3300</v>
      </c>
      <c r="T28" s="8"/>
      <c r="U28" s="8"/>
      <c r="V28" s="8"/>
      <c r="W28" s="8" t="s">
        <v>526</v>
      </c>
      <c r="X28" s="8" t="s">
        <v>519</v>
      </c>
      <c r="Y28" s="9" t="s">
        <v>96</v>
      </c>
    </row>
    <row r="29" customFormat="false" ht="15" hidden="false" customHeight="false" outlineLevel="0" collapsed="false">
      <c r="A29" s="8" t="s">
        <v>520</v>
      </c>
      <c r="B29" s="8" t="s">
        <v>528</v>
      </c>
      <c r="C29" s="8" t="s">
        <v>522</v>
      </c>
      <c r="D29" s="8" t="n">
        <v>153.8</v>
      </c>
      <c r="E29" s="8" t="n">
        <v>127.5</v>
      </c>
      <c r="F29" s="8" t="n">
        <v>67.8</v>
      </c>
      <c r="G29" s="8" t="n">
        <v>10440</v>
      </c>
      <c r="H29" s="8" t="n">
        <v>0.441</v>
      </c>
      <c r="I29" s="8" t="n">
        <v>104</v>
      </c>
      <c r="J29" s="13" t="n">
        <f aca="false">IF(AND(ISNUMBER(D29),ISNUMBER(I29)),D29*I29,"")</f>
        <v>15995.2</v>
      </c>
      <c r="K29" s="8" t="n">
        <v>62</v>
      </c>
      <c r="L29" s="8" t="n">
        <v>57.4</v>
      </c>
      <c r="M29" s="8"/>
      <c r="N29" s="8" t="n">
        <v>4800</v>
      </c>
      <c r="O29" s="8" t="n">
        <v>5000</v>
      </c>
      <c r="P29" s="8" t="n">
        <v>6100</v>
      </c>
      <c r="Q29" s="8"/>
      <c r="R29" s="8"/>
      <c r="S29" s="8" t="n">
        <v>3450</v>
      </c>
      <c r="T29" s="8"/>
      <c r="U29" s="8"/>
      <c r="V29" s="8"/>
      <c r="W29" s="8" t="s">
        <v>529</v>
      </c>
      <c r="X29" s="8" t="s">
        <v>519</v>
      </c>
      <c r="Y29" s="9" t="s">
        <v>96</v>
      </c>
    </row>
    <row r="30" customFormat="false" ht="15" hidden="false" customHeight="false" outlineLevel="0" collapsed="false">
      <c r="A30" s="8" t="s">
        <v>520</v>
      </c>
      <c r="B30" s="8" t="s">
        <v>530</v>
      </c>
      <c r="C30" s="8" t="s">
        <v>522</v>
      </c>
      <c r="D30" s="8" t="n">
        <v>171</v>
      </c>
      <c r="E30" s="8" t="n">
        <v>161</v>
      </c>
      <c r="F30" s="8" t="n">
        <v>79.7</v>
      </c>
      <c r="G30" s="8" t="n">
        <v>13650</v>
      </c>
      <c r="H30" s="8" t="n">
        <v>0.465</v>
      </c>
      <c r="I30" s="8" t="n">
        <v>158</v>
      </c>
      <c r="J30" s="13" t="n">
        <f aca="false">IF(AND(ISNUMBER(D30),ISNUMBER(I30)),D30*I30,"")</f>
        <v>27018</v>
      </c>
      <c r="K30" s="8" t="n">
        <v>76</v>
      </c>
      <c r="L30" s="8" t="n">
        <v>74</v>
      </c>
      <c r="M30" s="8"/>
      <c r="N30" s="8" t="n">
        <v>4500</v>
      </c>
      <c r="O30" s="8" t="n">
        <v>4700</v>
      </c>
      <c r="P30" s="8" t="n">
        <v>5700</v>
      </c>
      <c r="Q30" s="8" t="n">
        <v>3300</v>
      </c>
      <c r="R30" s="8"/>
      <c r="S30" s="8" t="n">
        <v>3300</v>
      </c>
      <c r="T30" s="8"/>
      <c r="U30" s="8"/>
      <c r="V30" s="8"/>
      <c r="W30" s="8" t="s">
        <v>531</v>
      </c>
      <c r="X30" s="8" t="s">
        <v>519</v>
      </c>
      <c r="Y30" s="9" t="s">
        <v>96</v>
      </c>
    </row>
    <row r="31" customFormat="false" ht="15" hidden="false" customHeight="false" outlineLevel="0" collapsed="false">
      <c r="A31" s="8" t="s">
        <v>520</v>
      </c>
      <c r="B31" s="8" t="s">
        <v>532</v>
      </c>
      <c r="C31" s="8" t="s">
        <v>522</v>
      </c>
      <c r="D31" s="8" t="n">
        <v>189</v>
      </c>
      <c r="E31" s="8" t="n">
        <v>174</v>
      </c>
      <c r="F31" s="8" t="n">
        <v>93</v>
      </c>
      <c r="G31" s="8" t="n">
        <v>17580</v>
      </c>
      <c r="H31" s="8" t="n">
        <v>0.492</v>
      </c>
      <c r="I31" s="8" t="n">
        <v>309</v>
      </c>
      <c r="J31" s="13" t="n">
        <f aca="false">IF(AND(ISNUMBER(D31),ISNUMBER(I31)),D31*I31,"")</f>
        <v>58401</v>
      </c>
      <c r="K31" s="8" t="n">
        <v>87</v>
      </c>
      <c r="L31" s="8" t="n">
        <v>90</v>
      </c>
      <c r="M31" s="8"/>
      <c r="N31" s="8" t="n">
        <v>4300</v>
      </c>
      <c r="O31" s="8" t="n">
        <v>4500</v>
      </c>
      <c r="P31" s="8" t="n">
        <v>5500</v>
      </c>
      <c r="Q31" s="8" t="n">
        <v>3200</v>
      </c>
      <c r="R31" s="8"/>
      <c r="S31" s="8" t="n">
        <v>3200</v>
      </c>
      <c r="T31" s="8"/>
      <c r="U31" s="8"/>
      <c r="V31" s="8"/>
      <c r="W31" s="8" t="s">
        <v>533</v>
      </c>
      <c r="X31" s="8" t="s">
        <v>519</v>
      </c>
      <c r="Y31" s="9" t="s">
        <v>96</v>
      </c>
    </row>
    <row r="32" customFormat="false" ht="15" hidden="false" customHeight="false" outlineLevel="0" collapsed="false">
      <c r="A32" s="8" t="s">
        <v>520</v>
      </c>
      <c r="B32" s="8" t="s">
        <v>534</v>
      </c>
      <c r="C32" s="8" t="s">
        <v>522</v>
      </c>
      <c r="D32" s="8" t="n">
        <v>332</v>
      </c>
      <c r="E32" s="8" t="n">
        <v>314</v>
      </c>
      <c r="F32" s="8" t="n">
        <v>113</v>
      </c>
      <c r="G32" s="8" t="n">
        <v>37630</v>
      </c>
      <c r="H32" s="8" t="n">
        <v>0.342</v>
      </c>
      <c r="I32" s="8" t="n">
        <v>340</v>
      </c>
      <c r="J32" s="13" t="n">
        <f aca="false">IF(AND(ISNUMBER(D32),ISNUMBER(I32)),D32*I32,"")</f>
        <v>112880</v>
      </c>
      <c r="K32" s="8" t="n">
        <v>100.5</v>
      </c>
      <c r="L32" s="8" t="n">
        <v>190</v>
      </c>
      <c r="M32" s="8"/>
      <c r="N32" s="8" t="n">
        <v>6500</v>
      </c>
      <c r="O32" s="8" t="n">
        <v>6700</v>
      </c>
      <c r="P32" s="8" t="n">
        <v>8200</v>
      </c>
      <c r="Q32" s="8" t="n">
        <v>4700</v>
      </c>
      <c r="R32" s="8"/>
      <c r="S32" s="8"/>
      <c r="T32" s="8"/>
      <c r="U32" s="8"/>
      <c r="V32" s="8"/>
      <c r="W32" s="8" t="s">
        <v>535</v>
      </c>
      <c r="X32" s="8" t="s">
        <v>519</v>
      </c>
      <c r="Y32" s="9" t="s">
        <v>96</v>
      </c>
    </row>
    <row r="33" customFormat="false" ht="15" hidden="false" customHeight="false" outlineLevel="0" collapsed="false">
      <c r="A33" s="8" t="s">
        <v>536</v>
      </c>
      <c r="B33" s="8" t="s">
        <v>537</v>
      </c>
      <c r="C33" s="8" t="s">
        <v>538</v>
      </c>
      <c r="D33" s="8" t="n">
        <v>31.3</v>
      </c>
      <c r="E33" s="8" t="n">
        <v>28.6</v>
      </c>
      <c r="F33" s="8" t="n">
        <v>26.9</v>
      </c>
      <c r="G33" s="8" t="n">
        <v>840</v>
      </c>
      <c r="H33" s="8" t="n">
        <v>0.86</v>
      </c>
      <c r="I33" s="8" t="n">
        <v>14.5</v>
      </c>
      <c r="J33" s="13" t="n">
        <f aca="false">IF(AND(ISNUMBER(D33),ISNUMBER(I33)),D33*I33,"")</f>
        <v>453.85</v>
      </c>
      <c r="K33" s="8" t="n">
        <v>30</v>
      </c>
      <c r="L33" s="8" t="n">
        <v>5</v>
      </c>
      <c r="M33" s="8"/>
      <c r="N33" s="8" t="n">
        <v>2400</v>
      </c>
      <c r="O33" s="8"/>
      <c r="P33" s="8"/>
      <c r="Q33" s="8"/>
      <c r="R33" s="8"/>
      <c r="S33" s="8"/>
      <c r="T33" s="8"/>
      <c r="U33" s="8"/>
      <c r="V33" s="8"/>
      <c r="W33" s="8" t="s">
        <v>539</v>
      </c>
      <c r="X33" s="8" t="s">
        <v>540</v>
      </c>
      <c r="Y33" s="9" t="s">
        <v>96</v>
      </c>
    </row>
    <row r="34" customFormat="false" ht="15" hidden="false" customHeight="false" outlineLevel="0" collapsed="false">
      <c r="A34" s="8" t="s">
        <v>536</v>
      </c>
      <c r="B34" s="8" t="s">
        <v>541</v>
      </c>
      <c r="C34" s="8" t="s">
        <v>538</v>
      </c>
      <c r="D34" s="8" t="n">
        <v>37.5</v>
      </c>
      <c r="E34" s="8" t="n">
        <v>31.2</v>
      </c>
      <c r="F34" s="8" t="n">
        <v>21.8</v>
      </c>
      <c r="G34" s="8" t="n">
        <v>820</v>
      </c>
      <c r="H34" s="8" t="n">
        <v>0.58</v>
      </c>
      <c r="I34" s="8" t="n">
        <v>14.5</v>
      </c>
      <c r="J34" s="13" t="n">
        <f aca="false">IF(AND(ISNUMBER(D34),ISNUMBER(I34)),D34*I34,"")</f>
        <v>543.75</v>
      </c>
      <c r="K34" s="8" t="n">
        <v>30</v>
      </c>
      <c r="L34" s="8" t="n">
        <v>4</v>
      </c>
      <c r="M34" s="8"/>
      <c r="N34" s="8" t="n">
        <v>3000</v>
      </c>
      <c r="O34" s="8"/>
      <c r="P34" s="8"/>
      <c r="Q34" s="8"/>
      <c r="R34" s="8"/>
      <c r="S34" s="8"/>
      <c r="T34" s="8"/>
      <c r="U34" s="8"/>
      <c r="V34" s="8"/>
      <c r="W34" s="8" t="s">
        <v>539</v>
      </c>
      <c r="X34" s="8" t="s">
        <v>540</v>
      </c>
      <c r="Y34" s="9" t="s">
        <v>96</v>
      </c>
    </row>
    <row r="35" customFormat="false" ht="15" hidden="false" customHeight="false" outlineLevel="0" collapsed="false">
      <c r="A35" s="8" t="s">
        <v>536</v>
      </c>
      <c r="B35" s="8" t="s">
        <v>542</v>
      </c>
      <c r="C35" s="8" t="s">
        <v>538</v>
      </c>
      <c r="D35" s="8" t="n">
        <v>64</v>
      </c>
      <c r="E35" s="8" t="n">
        <v>55</v>
      </c>
      <c r="F35" s="8" t="n">
        <v>38</v>
      </c>
      <c r="G35" s="8" t="n">
        <v>2430</v>
      </c>
      <c r="H35" s="8" t="n">
        <v>0.59</v>
      </c>
      <c r="I35" s="8" t="n">
        <v>30</v>
      </c>
      <c r="J35" s="13" t="n">
        <f aca="false">IF(AND(ISNUMBER(D35),ISNUMBER(I35)),D35*I35,"")</f>
        <v>1920</v>
      </c>
      <c r="K35" s="8" t="n">
        <v>42</v>
      </c>
      <c r="L35" s="8" t="n">
        <v>12</v>
      </c>
      <c r="M35" s="8"/>
      <c r="N35" s="8" t="n">
        <v>3300</v>
      </c>
      <c r="O35" s="8"/>
      <c r="P35" s="8"/>
      <c r="Q35" s="8"/>
      <c r="R35" s="8"/>
      <c r="S35" s="8"/>
      <c r="T35" s="8"/>
      <c r="U35" s="8"/>
      <c r="V35" s="8" t="s">
        <v>543</v>
      </c>
      <c r="W35" s="8" t="s">
        <v>544</v>
      </c>
      <c r="X35" s="8" t="s">
        <v>545</v>
      </c>
      <c r="Y35" s="9" t="s">
        <v>96</v>
      </c>
    </row>
    <row r="36" customFormat="false" ht="15" hidden="false" customHeight="false" outlineLevel="0" collapsed="false">
      <c r="A36" s="8" t="s">
        <v>536</v>
      </c>
      <c r="B36" s="8" t="s">
        <v>546</v>
      </c>
      <c r="C36" s="8" t="s">
        <v>538</v>
      </c>
      <c r="D36" s="8" t="n">
        <v>64.9</v>
      </c>
      <c r="E36" s="8" t="n">
        <v>55.4</v>
      </c>
      <c r="F36" s="8" t="n">
        <v>28.7</v>
      </c>
      <c r="G36" s="8" t="n">
        <v>1860</v>
      </c>
      <c r="H36" s="8" t="n">
        <v>0.44</v>
      </c>
      <c r="I36" s="8" t="n">
        <v>30</v>
      </c>
      <c r="J36" s="13" t="n">
        <f aca="false">IF(AND(ISNUMBER(D36),ISNUMBER(I36)),D36*I36,"")</f>
        <v>1947</v>
      </c>
      <c r="K36" s="8" t="n">
        <v>42</v>
      </c>
      <c r="L36" s="8" t="n">
        <v>10.6</v>
      </c>
      <c r="M36" s="8"/>
      <c r="N36" s="8" t="n">
        <v>4100</v>
      </c>
      <c r="O36" s="8"/>
      <c r="P36" s="8"/>
      <c r="Q36" s="8"/>
      <c r="R36" s="8"/>
      <c r="S36" s="8" t="n">
        <v>2900</v>
      </c>
      <c r="T36" s="8"/>
      <c r="U36" s="8"/>
      <c r="V36" s="8"/>
      <c r="W36" s="8" t="s">
        <v>544</v>
      </c>
      <c r="X36" s="8" t="s">
        <v>545</v>
      </c>
      <c r="Y36" s="9" t="s">
        <v>96</v>
      </c>
    </row>
    <row r="37" customFormat="false" ht="15" hidden="false" customHeight="false" outlineLevel="0" collapsed="false">
      <c r="A37" s="8" t="s">
        <v>536</v>
      </c>
      <c r="B37" s="8" t="s">
        <v>547</v>
      </c>
      <c r="C37" s="8" t="s">
        <v>538</v>
      </c>
      <c r="D37" s="8" t="n">
        <v>83</v>
      </c>
      <c r="E37" s="8"/>
      <c r="F37" s="8" t="n">
        <v>42</v>
      </c>
      <c r="G37" s="8" t="n">
        <v>3490</v>
      </c>
      <c r="H37" s="8" t="n">
        <v>0.5</v>
      </c>
      <c r="I37" s="8" t="n">
        <v>41.5</v>
      </c>
      <c r="J37" s="13" t="n">
        <f aca="false">IF(AND(ISNUMBER(D37),ISNUMBER(I37)),D37*I37,"")</f>
        <v>3444.5</v>
      </c>
      <c r="K37" s="8" t="n">
        <v>52</v>
      </c>
      <c r="L37" s="8" t="n">
        <v>20.7</v>
      </c>
      <c r="M37" s="8"/>
      <c r="N37" s="8" t="n">
        <v>4200</v>
      </c>
      <c r="O37" s="8" t="n">
        <v>4200</v>
      </c>
      <c r="P37" s="8" t="n">
        <v>5500</v>
      </c>
      <c r="Q37" s="8"/>
      <c r="R37" s="8"/>
      <c r="S37" s="8" t="n">
        <v>2900</v>
      </c>
      <c r="T37" s="8" t="n">
        <v>1800</v>
      </c>
      <c r="U37" s="8"/>
      <c r="V37" s="8" t="s">
        <v>548</v>
      </c>
      <c r="W37" s="8" t="s">
        <v>549</v>
      </c>
      <c r="X37" s="8" t="s">
        <v>550</v>
      </c>
      <c r="Y37" s="9" t="s">
        <v>96</v>
      </c>
    </row>
    <row r="38" customFormat="false" ht="15" hidden="false" customHeight="false" outlineLevel="0" collapsed="false">
      <c r="A38" s="8" t="s">
        <v>536</v>
      </c>
      <c r="B38" s="8" t="s">
        <v>551</v>
      </c>
      <c r="C38" s="8" t="s">
        <v>538</v>
      </c>
      <c r="D38" s="8" t="n">
        <v>99.1</v>
      </c>
      <c r="E38" s="8" t="n">
        <v>90</v>
      </c>
      <c r="F38" s="8" t="n">
        <v>33.9</v>
      </c>
      <c r="G38" s="8" t="n">
        <v>3360</v>
      </c>
      <c r="H38" s="8" t="n">
        <v>0.34</v>
      </c>
      <c r="I38" s="8" t="n">
        <v>41.5</v>
      </c>
      <c r="J38" s="13" t="n">
        <f aca="false">IF(AND(ISNUMBER(D38),ISNUMBER(I38)),D38*I38,"")</f>
        <v>4112.65</v>
      </c>
      <c r="K38" s="8" t="n">
        <v>52</v>
      </c>
      <c r="L38" s="8" t="n">
        <v>17.2</v>
      </c>
      <c r="M38" s="8"/>
      <c r="N38" s="8" t="n">
        <v>5200</v>
      </c>
      <c r="O38" s="8"/>
      <c r="P38" s="8"/>
      <c r="Q38" s="8" t="n">
        <v>4000</v>
      </c>
      <c r="R38" s="8"/>
      <c r="S38" s="8" t="n">
        <v>3700</v>
      </c>
      <c r="T38" s="8"/>
      <c r="U38" s="8"/>
      <c r="V38" s="8"/>
      <c r="W38" s="8" t="s">
        <v>549</v>
      </c>
      <c r="X38" s="8" t="s">
        <v>550</v>
      </c>
      <c r="Y38" s="9" t="s">
        <v>96</v>
      </c>
    </row>
    <row r="39" customFormat="false" ht="15" hidden="false" customHeight="false" outlineLevel="0" collapsed="false">
      <c r="A39" s="8" t="s">
        <v>536</v>
      </c>
      <c r="B39" s="8" t="s">
        <v>552</v>
      </c>
      <c r="C39" s="8" t="s">
        <v>538</v>
      </c>
      <c r="D39" s="8" t="n">
        <v>200</v>
      </c>
      <c r="E39" s="8" t="n">
        <v>170</v>
      </c>
      <c r="F39" s="8" t="n">
        <v>70</v>
      </c>
      <c r="G39" s="8" t="n">
        <v>14000</v>
      </c>
      <c r="H39" s="8" t="n">
        <v>0.35</v>
      </c>
      <c r="I39" s="8" t="n">
        <v>107</v>
      </c>
      <c r="J39" s="13" t="n">
        <f aca="false">IF(AND(ISNUMBER(D39),ISNUMBER(I39)),D39*I39,"")</f>
        <v>21400</v>
      </c>
      <c r="K39" s="8" t="n">
        <v>71.5</v>
      </c>
      <c r="L39" s="8" t="n">
        <v>74</v>
      </c>
      <c r="M39" s="8"/>
      <c r="N39" s="8" t="n">
        <v>6000</v>
      </c>
      <c r="O39" s="8" t="n">
        <v>6000</v>
      </c>
      <c r="P39" s="8"/>
      <c r="Q39" s="8"/>
      <c r="R39" s="8"/>
      <c r="S39" s="8" t="n">
        <v>3900</v>
      </c>
      <c r="T39" s="8" t="n">
        <v>2100</v>
      </c>
      <c r="U39" s="8"/>
      <c r="V39" s="8" t="s">
        <v>553</v>
      </c>
      <c r="W39" s="8" t="s">
        <v>554</v>
      </c>
      <c r="X39" s="8" t="s">
        <v>555</v>
      </c>
      <c r="Y39" s="9" t="s">
        <v>96</v>
      </c>
    </row>
    <row r="40" customFormat="false" ht="15" hidden="false" customHeight="false" outlineLevel="0" collapsed="false">
      <c r="A40" s="8" t="s">
        <v>536</v>
      </c>
      <c r="B40" s="8" t="s">
        <v>556</v>
      </c>
      <c r="C40" s="8" t="s">
        <v>538</v>
      </c>
      <c r="D40" s="8" t="n">
        <v>201</v>
      </c>
      <c r="E40" s="8" t="n">
        <v>170</v>
      </c>
      <c r="F40" s="8" t="n">
        <v>50.9</v>
      </c>
      <c r="G40" s="8" t="n">
        <v>10230</v>
      </c>
      <c r="H40" s="8" t="n">
        <v>0.25</v>
      </c>
      <c r="I40" s="8" t="n">
        <v>107</v>
      </c>
      <c r="J40" s="13" t="n">
        <f aca="false">IF(AND(ISNUMBER(D40),ISNUMBER(I40)),D40*I40,"")</f>
        <v>21507</v>
      </c>
      <c r="K40" s="8" t="n">
        <v>71.5</v>
      </c>
      <c r="L40" s="8" t="n">
        <v>55</v>
      </c>
      <c r="M40" s="8"/>
      <c r="N40" s="8" t="n">
        <v>7100</v>
      </c>
      <c r="O40" s="8"/>
      <c r="P40" s="8"/>
      <c r="Q40" s="8" t="n">
        <v>5400</v>
      </c>
      <c r="R40" s="8"/>
      <c r="S40" s="8" t="n">
        <v>5100</v>
      </c>
      <c r="T40" s="8"/>
      <c r="U40" s="8"/>
      <c r="V40" s="8"/>
      <c r="W40" s="8" t="s">
        <v>557</v>
      </c>
      <c r="X40" s="8" t="s">
        <v>555</v>
      </c>
      <c r="Y40" s="9" t="s">
        <v>96</v>
      </c>
    </row>
    <row r="41" customFormat="false" ht="15" hidden="false" customHeight="false" outlineLevel="0" collapsed="false">
      <c r="A41" s="8" t="s">
        <v>536</v>
      </c>
      <c r="B41" s="8" t="s">
        <v>558</v>
      </c>
      <c r="C41" s="8" t="s">
        <v>559</v>
      </c>
      <c r="D41" s="8" t="n">
        <v>19.5</v>
      </c>
      <c r="E41" s="8" t="n">
        <v>14.9</v>
      </c>
      <c r="F41" s="8" t="n">
        <v>24.2</v>
      </c>
      <c r="G41" s="8" t="n">
        <v>472</v>
      </c>
      <c r="H41" s="8" t="n">
        <v>1.24</v>
      </c>
      <c r="I41" s="8" t="n">
        <v>14.3</v>
      </c>
      <c r="J41" s="13" t="n">
        <f aca="false">IF(AND(ISNUMBER(D41),ISNUMBER(I41)),D41*I41,"")</f>
        <v>278.85</v>
      </c>
      <c r="K41" s="8" t="n">
        <v>23.8</v>
      </c>
      <c r="L41" s="8" t="n">
        <v>4.5</v>
      </c>
      <c r="M41" s="8"/>
      <c r="N41" s="8" t="s">
        <v>560</v>
      </c>
      <c r="O41" s="8"/>
      <c r="P41" s="8"/>
      <c r="Q41" s="8"/>
      <c r="R41" s="8"/>
      <c r="S41" s="8" t="s">
        <v>561</v>
      </c>
      <c r="T41" s="8"/>
      <c r="U41" s="8"/>
      <c r="V41" s="8"/>
      <c r="W41" s="8" t="s">
        <v>562</v>
      </c>
      <c r="X41" s="8" t="s">
        <v>494</v>
      </c>
      <c r="Y41" s="9" t="s">
        <v>96</v>
      </c>
    </row>
    <row r="42" customFormat="false" ht="15" hidden="false" customHeight="false" outlineLevel="0" collapsed="false">
      <c r="A42" s="8" t="s">
        <v>536</v>
      </c>
      <c r="B42" s="8" t="s">
        <v>563</v>
      </c>
      <c r="C42" s="8" t="s">
        <v>564</v>
      </c>
      <c r="D42" s="8" t="n">
        <v>12.4</v>
      </c>
      <c r="E42" s="8" t="n">
        <v>10.3</v>
      </c>
      <c r="F42" s="8" t="n">
        <v>14.1</v>
      </c>
      <c r="G42" s="8" t="n">
        <v>174</v>
      </c>
      <c r="H42" s="8" t="n">
        <v>1.1</v>
      </c>
      <c r="I42" s="8" t="n">
        <v>3.3</v>
      </c>
      <c r="J42" s="13" t="n">
        <f aca="false">IF(AND(ISNUMBER(D42),ISNUMBER(I42)),D42*I42,"")</f>
        <v>40.92</v>
      </c>
      <c r="K42" s="8" t="n">
        <v>21.6</v>
      </c>
      <c r="L42" s="8" t="n">
        <v>0.85</v>
      </c>
      <c r="M42" s="8"/>
      <c r="N42" s="8" t="n">
        <v>1200</v>
      </c>
      <c r="O42" s="8" t="n">
        <v>1200</v>
      </c>
      <c r="P42" s="8"/>
      <c r="Q42" s="8" t="n">
        <v>900</v>
      </c>
      <c r="R42" s="8"/>
      <c r="S42" s="8" t="n">
        <v>900</v>
      </c>
      <c r="T42" s="8" t="n">
        <v>640</v>
      </c>
      <c r="U42" s="8"/>
      <c r="V42" s="8" t="s">
        <v>565</v>
      </c>
      <c r="W42" s="8" t="s">
        <v>566</v>
      </c>
      <c r="X42" s="8" t="s">
        <v>567</v>
      </c>
      <c r="Y42" s="9" t="s">
        <v>96</v>
      </c>
    </row>
    <row r="43" customFormat="false" ht="15" hidden="false" customHeight="false" outlineLevel="0" collapsed="false">
      <c r="A43" s="8" t="s">
        <v>568</v>
      </c>
      <c r="B43" s="8" t="s">
        <v>569</v>
      </c>
      <c r="C43" s="8" t="s">
        <v>479</v>
      </c>
      <c r="D43" s="8" t="n">
        <v>78.3</v>
      </c>
      <c r="E43" s="8" t="n">
        <v>77.9</v>
      </c>
      <c r="F43" s="8" t="n">
        <v>32.5</v>
      </c>
      <c r="G43" s="8" t="n">
        <v>2540</v>
      </c>
      <c r="H43" s="8" t="n">
        <v>0.41</v>
      </c>
      <c r="I43" s="8"/>
      <c r="J43" s="13" t="str">
        <f aca="false">IF(AND(ISNUMBER(D43),ISNUMBER(I43)),D43*I43,"")</f>
        <v/>
      </c>
      <c r="K43" s="8"/>
      <c r="L43" s="8" t="n">
        <v>13</v>
      </c>
      <c r="M43" s="8"/>
      <c r="N43" s="8" t="s">
        <v>570</v>
      </c>
      <c r="O43" s="8"/>
      <c r="P43" s="8" t="s">
        <v>571</v>
      </c>
      <c r="Q43" s="8"/>
      <c r="R43" s="8"/>
      <c r="S43" s="8"/>
      <c r="T43" s="8" t="s">
        <v>572</v>
      </c>
      <c r="U43" s="8"/>
      <c r="V43" s="8"/>
      <c r="W43" s="8" t="s">
        <v>573</v>
      </c>
      <c r="X43" s="8" t="s">
        <v>574</v>
      </c>
      <c r="Y43" s="9" t="s">
        <v>96</v>
      </c>
    </row>
    <row r="44" customFormat="false" ht="15" hidden="false" customHeight="false" outlineLevel="0" collapsed="false">
      <c r="A44" s="8" t="s">
        <v>568</v>
      </c>
      <c r="B44" s="8" t="s">
        <v>575</v>
      </c>
      <c r="C44" s="8" t="s">
        <v>479</v>
      </c>
      <c r="D44" s="8" t="n">
        <v>78.5</v>
      </c>
      <c r="E44" s="8" t="n">
        <v>77.9</v>
      </c>
      <c r="F44" s="8" t="n">
        <v>26.1</v>
      </c>
      <c r="G44" s="8" t="n">
        <v>2050</v>
      </c>
      <c r="H44" s="8" t="n">
        <v>0.33</v>
      </c>
      <c r="I44" s="8"/>
      <c r="J44" s="13" t="str">
        <f aca="false">IF(AND(ISNUMBER(D44),ISNUMBER(I44)),D44*I44,"")</f>
        <v/>
      </c>
      <c r="K44" s="8"/>
      <c r="L44" s="8" t="n">
        <v>10.5</v>
      </c>
      <c r="M44" s="8"/>
      <c r="N44" s="8"/>
      <c r="O44" s="8"/>
      <c r="P44" s="8"/>
      <c r="Q44" s="8"/>
      <c r="R44" s="8"/>
      <c r="S44" s="8"/>
      <c r="T44" s="8"/>
      <c r="U44" s="8"/>
      <c r="V44" s="8"/>
      <c r="W44" s="8" t="s">
        <v>573</v>
      </c>
      <c r="X44" s="8" t="s">
        <v>574</v>
      </c>
      <c r="Y44" s="9" t="s">
        <v>96</v>
      </c>
    </row>
    <row r="45" customFormat="false" ht="15" hidden="false" customHeight="false" outlineLevel="0" collapsed="false">
      <c r="A45" s="8" t="s">
        <v>568</v>
      </c>
      <c r="B45" s="8" t="s">
        <v>576</v>
      </c>
      <c r="C45" s="8" t="s">
        <v>479</v>
      </c>
      <c r="D45" s="8" t="n">
        <v>130</v>
      </c>
      <c r="E45" s="8" t="n">
        <v>128</v>
      </c>
      <c r="F45" s="8" t="n">
        <v>41.4</v>
      </c>
      <c r="G45" s="8" t="n">
        <v>5390</v>
      </c>
      <c r="H45" s="8" t="n">
        <v>0.32</v>
      </c>
      <c r="I45" s="8"/>
      <c r="J45" s="13" t="str">
        <f aca="false">IF(AND(ISNUMBER(D45),ISNUMBER(I45)),D45*I45,"")</f>
        <v/>
      </c>
      <c r="K45" s="8"/>
      <c r="L45" s="8" t="n">
        <v>28</v>
      </c>
      <c r="M45" s="8"/>
      <c r="N45" s="8" t="n">
        <v>5700</v>
      </c>
      <c r="O45" s="8" t="n">
        <v>5700</v>
      </c>
      <c r="P45" s="8" t="n">
        <v>6900</v>
      </c>
      <c r="Q45" s="8" t="n">
        <v>4300</v>
      </c>
      <c r="R45" s="8"/>
      <c r="S45" s="8" t="n">
        <v>3900</v>
      </c>
      <c r="T45" s="8" t="n">
        <v>2700</v>
      </c>
      <c r="U45" s="8"/>
      <c r="V45" s="8"/>
      <c r="W45" s="8" t="s">
        <v>577</v>
      </c>
      <c r="X45" s="8" t="s">
        <v>574</v>
      </c>
      <c r="Y45" s="9" t="s">
        <v>96</v>
      </c>
    </row>
    <row r="46" customFormat="false" ht="15" hidden="false" customHeight="false" outlineLevel="0" collapsed="false">
      <c r="A46" s="8" t="s">
        <v>568</v>
      </c>
      <c r="B46" s="8" t="s">
        <v>578</v>
      </c>
      <c r="C46" s="8" t="s">
        <v>479</v>
      </c>
      <c r="D46" s="8" t="n">
        <v>130</v>
      </c>
      <c r="E46" s="8" t="n">
        <v>128</v>
      </c>
      <c r="F46" s="8" t="n">
        <v>35.1</v>
      </c>
      <c r="G46" s="8" t="n">
        <v>4560</v>
      </c>
      <c r="H46" s="8" t="n">
        <v>0.27</v>
      </c>
      <c r="I46" s="8"/>
      <c r="J46" s="13" t="str">
        <f aca="false">IF(AND(ISNUMBER(D46),ISNUMBER(I46)),D46*I46,"")</f>
        <v/>
      </c>
      <c r="K46" s="8"/>
      <c r="L46" s="8" t="n">
        <v>24</v>
      </c>
      <c r="M46" s="8"/>
      <c r="N46" s="8"/>
      <c r="O46" s="8"/>
      <c r="P46" s="8"/>
      <c r="Q46" s="8"/>
      <c r="R46" s="8"/>
      <c r="S46" s="8"/>
      <c r="T46" s="8"/>
      <c r="U46" s="8"/>
      <c r="V46" s="8"/>
      <c r="W46" s="8" t="s">
        <v>579</v>
      </c>
      <c r="X46" s="8" t="s">
        <v>574</v>
      </c>
      <c r="Y46" s="9" t="s">
        <v>96</v>
      </c>
    </row>
    <row r="47" customFormat="false" ht="15" hidden="false" customHeight="false" outlineLevel="0" collapsed="false">
      <c r="A47" s="8" t="s">
        <v>568</v>
      </c>
      <c r="B47" s="8" t="s">
        <v>580</v>
      </c>
      <c r="C47" s="8" t="s">
        <v>479</v>
      </c>
      <c r="D47" s="8" t="n">
        <v>194</v>
      </c>
      <c r="E47" s="8" t="n">
        <v>192</v>
      </c>
      <c r="F47" s="8" t="n">
        <v>52.4</v>
      </c>
      <c r="G47" s="8" t="n">
        <v>10200</v>
      </c>
      <c r="H47" s="8" t="n">
        <v>0.27</v>
      </c>
      <c r="I47" s="8"/>
      <c r="J47" s="13" t="str">
        <f aca="false">IF(AND(ISNUMBER(D47),ISNUMBER(I47)),D47*I47,"")</f>
        <v/>
      </c>
      <c r="K47" s="8"/>
      <c r="L47" s="8" t="n">
        <v>52</v>
      </c>
      <c r="M47" s="8"/>
      <c r="N47" s="8" t="n">
        <v>7200</v>
      </c>
      <c r="O47" s="8" t="n">
        <v>7400</v>
      </c>
      <c r="P47" s="8" t="n">
        <v>8800</v>
      </c>
      <c r="Q47" s="8" t="n">
        <v>5400</v>
      </c>
      <c r="R47" s="8"/>
      <c r="S47" s="8" t="n">
        <v>4850</v>
      </c>
      <c r="T47" s="8" t="n">
        <v>2900</v>
      </c>
      <c r="U47" s="8"/>
      <c r="V47" s="8"/>
      <c r="W47" s="8" t="s">
        <v>581</v>
      </c>
      <c r="X47" s="8" t="s">
        <v>574</v>
      </c>
      <c r="Y47" s="9" t="s">
        <v>96</v>
      </c>
    </row>
    <row r="48" customFormat="false" ht="15" hidden="false" customHeight="false" outlineLevel="0" collapsed="false">
      <c r="A48" s="8" t="s">
        <v>568</v>
      </c>
      <c r="B48" s="8" t="s">
        <v>582</v>
      </c>
      <c r="C48" s="8" t="s">
        <v>479</v>
      </c>
      <c r="D48" s="8" t="n">
        <v>194</v>
      </c>
      <c r="E48" s="8" t="n">
        <v>192</v>
      </c>
      <c r="F48" s="8" t="n">
        <v>43.6</v>
      </c>
      <c r="G48" s="8" t="n">
        <v>8460</v>
      </c>
      <c r="H48" s="8" t="n">
        <v>0.22</v>
      </c>
      <c r="I48" s="8"/>
      <c r="J48" s="13" t="str">
        <f aca="false">IF(AND(ISNUMBER(D48),ISNUMBER(I48)),D48*I48,"")</f>
        <v/>
      </c>
      <c r="K48" s="8"/>
      <c r="L48" s="8" t="n">
        <v>44</v>
      </c>
      <c r="M48" s="8"/>
      <c r="N48" s="8"/>
      <c r="O48" s="8"/>
      <c r="P48" s="8"/>
      <c r="Q48" s="8"/>
      <c r="R48" s="8"/>
      <c r="S48" s="8"/>
      <c r="T48" s="8"/>
      <c r="U48" s="8"/>
      <c r="V48" s="8"/>
      <c r="W48" s="8" t="s">
        <v>581</v>
      </c>
      <c r="X48" s="8" t="s">
        <v>574</v>
      </c>
      <c r="Y48" s="9" t="s">
        <v>96</v>
      </c>
    </row>
    <row r="49" customFormat="false" ht="15" hidden="false" customHeight="false" outlineLevel="0" collapsed="false">
      <c r="A49" s="8" t="s">
        <v>568</v>
      </c>
      <c r="B49" s="8" t="s">
        <v>583</v>
      </c>
      <c r="C49" s="8" t="s">
        <v>479</v>
      </c>
      <c r="D49" s="8" t="n">
        <v>225</v>
      </c>
      <c r="E49" s="8" t="n">
        <v>217</v>
      </c>
      <c r="F49" s="8" t="n">
        <v>61.6</v>
      </c>
      <c r="G49" s="8" t="n">
        <v>13748</v>
      </c>
      <c r="H49" s="8" t="n">
        <v>0.274</v>
      </c>
      <c r="I49" s="8"/>
      <c r="J49" s="13" t="str">
        <f aca="false">IF(AND(ISNUMBER(D49),ISNUMBER(I49)),D49*I49,"")</f>
        <v/>
      </c>
      <c r="K49" s="8"/>
      <c r="L49" s="8" t="n">
        <v>70</v>
      </c>
      <c r="M49" s="8"/>
      <c r="N49" s="8" t="n">
        <v>7300</v>
      </c>
      <c r="O49" s="8" t="n">
        <v>7500</v>
      </c>
      <c r="P49" s="8" t="n">
        <v>9000</v>
      </c>
      <c r="Q49" s="8" t="n">
        <v>5500</v>
      </c>
      <c r="R49" s="8"/>
      <c r="S49" s="8" t="n">
        <v>5000</v>
      </c>
      <c r="T49" s="8"/>
      <c r="U49" s="8"/>
      <c r="V49" s="8"/>
      <c r="W49" s="8" t="s">
        <v>370</v>
      </c>
      <c r="X49" s="8" t="s">
        <v>574</v>
      </c>
      <c r="Y49" s="9" t="s">
        <v>96</v>
      </c>
    </row>
    <row r="50" customFormat="false" ht="15" hidden="false" customHeight="false" outlineLevel="0" collapsed="false">
      <c r="A50" s="8" t="s">
        <v>568</v>
      </c>
      <c r="B50" s="8" t="s">
        <v>584</v>
      </c>
      <c r="C50" s="8" t="s">
        <v>479</v>
      </c>
      <c r="D50" s="8" t="n">
        <v>225</v>
      </c>
      <c r="E50" s="8" t="n">
        <v>217</v>
      </c>
      <c r="F50" s="8" t="n">
        <v>50.8</v>
      </c>
      <c r="G50" s="8" t="n">
        <v>11430</v>
      </c>
      <c r="H50" s="8" t="n">
        <v>0.225</v>
      </c>
      <c r="I50" s="8"/>
      <c r="J50" s="13" t="str">
        <f aca="false">IF(AND(ISNUMBER(D50),ISNUMBER(I50)),D50*I50,"")</f>
        <v/>
      </c>
      <c r="K50" s="8"/>
      <c r="L50" s="8" t="n">
        <v>60</v>
      </c>
      <c r="M50" s="8"/>
      <c r="N50" s="8"/>
      <c r="O50" s="8"/>
      <c r="P50" s="8"/>
      <c r="Q50" s="8"/>
      <c r="R50" s="8"/>
      <c r="S50" s="8"/>
      <c r="T50" s="8"/>
      <c r="U50" s="8"/>
      <c r="V50" s="8"/>
      <c r="W50" s="8" t="s">
        <v>370</v>
      </c>
      <c r="X50" s="8" t="s">
        <v>574</v>
      </c>
      <c r="Y50" s="9" t="s">
        <v>96</v>
      </c>
    </row>
    <row r="51" customFormat="false" ht="15" hidden="false" customHeight="false" outlineLevel="0" collapsed="false">
      <c r="A51" s="8" t="s">
        <v>568</v>
      </c>
      <c r="B51" s="8" t="s">
        <v>585</v>
      </c>
      <c r="C51" s="8" t="s">
        <v>479</v>
      </c>
      <c r="D51" s="8" t="n">
        <v>310</v>
      </c>
      <c r="E51" s="8" t="n">
        <v>308</v>
      </c>
      <c r="F51" s="8" t="n">
        <v>80.7</v>
      </c>
      <c r="G51" s="8" t="n">
        <v>25000</v>
      </c>
      <c r="H51" s="8" t="n">
        <v>0.26</v>
      </c>
      <c r="I51" s="8"/>
      <c r="J51" s="13" t="str">
        <f aca="false">IF(AND(ISNUMBER(D51),ISNUMBER(I51)),D51*I51,"")</f>
        <v/>
      </c>
      <c r="K51" s="8"/>
      <c r="L51" s="8" t="n">
        <v>130</v>
      </c>
      <c r="M51" s="8"/>
      <c r="N51" s="8" t="n">
        <v>7400</v>
      </c>
      <c r="O51" s="8"/>
      <c r="P51" s="8"/>
      <c r="Q51" s="8"/>
      <c r="R51" s="8"/>
      <c r="S51" s="8"/>
      <c r="T51" s="8"/>
      <c r="U51" s="8"/>
      <c r="V51" s="8"/>
      <c r="W51" s="8" t="s">
        <v>370</v>
      </c>
      <c r="X51" s="8" t="s">
        <v>574</v>
      </c>
      <c r="Y51" s="9" t="s">
        <v>96</v>
      </c>
    </row>
    <row r="52" customFormat="false" ht="15" hidden="false" customHeight="false" outlineLevel="0" collapsed="false">
      <c r="A52" s="8" t="s">
        <v>568</v>
      </c>
      <c r="B52" s="8" t="s">
        <v>586</v>
      </c>
      <c r="C52" s="8" t="s">
        <v>479</v>
      </c>
      <c r="D52" s="8" t="n">
        <v>310</v>
      </c>
      <c r="E52" s="8"/>
      <c r="F52" s="8" t="n">
        <v>67.7</v>
      </c>
      <c r="G52" s="8" t="n">
        <v>21000</v>
      </c>
      <c r="H52" s="8" t="n">
        <v>0.22</v>
      </c>
      <c r="I52" s="8"/>
      <c r="J52" s="13" t="str">
        <f aca="false">IF(AND(ISNUMBER(D52),ISNUMBER(I52)),D52*I52,"")</f>
        <v/>
      </c>
      <c r="K52" s="8"/>
      <c r="L52" s="8" t="n">
        <v>110</v>
      </c>
      <c r="M52" s="8"/>
      <c r="N52" s="8" t="n">
        <v>8400</v>
      </c>
      <c r="O52" s="8"/>
      <c r="P52" s="8"/>
      <c r="Q52" s="8"/>
      <c r="R52" s="8"/>
      <c r="S52" s="8"/>
      <c r="T52" s="8"/>
      <c r="U52" s="8"/>
      <c r="V52" s="8"/>
      <c r="W52" s="8" t="s">
        <v>370</v>
      </c>
      <c r="X52" s="8" t="s">
        <v>574</v>
      </c>
      <c r="Y52" s="9" t="s">
        <v>96</v>
      </c>
    </row>
    <row r="53" customFormat="false" ht="15" hidden="false" customHeight="false" outlineLevel="0" collapsed="false">
      <c r="A53" s="8" t="s">
        <v>568</v>
      </c>
      <c r="B53" s="8" t="s">
        <v>587</v>
      </c>
      <c r="C53" s="8" t="s">
        <v>479</v>
      </c>
      <c r="D53" s="8" t="n">
        <v>519</v>
      </c>
      <c r="E53" s="8" t="n">
        <v>518</v>
      </c>
      <c r="F53" s="8" t="n">
        <v>79.9</v>
      </c>
      <c r="G53" s="8" t="n">
        <v>41500</v>
      </c>
      <c r="H53" s="8" t="n">
        <v>0.15</v>
      </c>
      <c r="I53" s="8"/>
      <c r="J53" s="13" t="str">
        <f aca="false">IF(AND(ISNUMBER(D53),ISNUMBER(I53)),D53*I53,"")</f>
        <v/>
      </c>
      <c r="K53" s="8"/>
      <c r="L53" s="8" t="n">
        <v>210</v>
      </c>
      <c r="M53" s="8"/>
      <c r="N53" s="8" t="s">
        <v>588</v>
      </c>
      <c r="O53" s="8" t="n">
        <v>12500</v>
      </c>
      <c r="P53" s="8" t="n">
        <v>15500</v>
      </c>
      <c r="Q53" s="8"/>
      <c r="R53" s="8"/>
      <c r="S53" s="8" t="s">
        <v>589</v>
      </c>
      <c r="T53" s="8"/>
      <c r="U53" s="8"/>
      <c r="V53" s="8"/>
      <c r="W53" s="8" t="s">
        <v>370</v>
      </c>
      <c r="X53" s="8" t="s">
        <v>574</v>
      </c>
      <c r="Y53" s="9" t="s">
        <v>96</v>
      </c>
    </row>
    <row r="54" customFormat="false" ht="15" hidden="false" customHeight="false" outlineLevel="0" collapsed="false">
      <c r="A54" s="8" t="s">
        <v>568</v>
      </c>
      <c r="B54" s="8" t="s">
        <v>590</v>
      </c>
      <c r="C54" s="8" t="s">
        <v>479</v>
      </c>
      <c r="D54" s="8" t="n">
        <v>519</v>
      </c>
      <c r="E54" s="8" t="n">
        <v>518</v>
      </c>
      <c r="F54" s="8" t="n">
        <v>69.7</v>
      </c>
      <c r="G54" s="8" t="n">
        <v>36200</v>
      </c>
      <c r="H54" s="8" t="n">
        <v>0.13</v>
      </c>
      <c r="I54" s="8"/>
      <c r="J54" s="13" t="str">
        <f aca="false">IF(AND(ISNUMBER(D54),ISNUMBER(I54)),D54*I54,"")</f>
        <v/>
      </c>
      <c r="K54" s="8"/>
      <c r="L54" s="8" t="n">
        <v>185</v>
      </c>
      <c r="M54" s="8"/>
      <c r="N54" s="8"/>
      <c r="O54" s="8"/>
      <c r="P54" s="8"/>
      <c r="Q54" s="8"/>
      <c r="R54" s="8"/>
      <c r="S54" s="8"/>
      <c r="T54" s="8"/>
      <c r="U54" s="8"/>
      <c r="V54" s="8"/>
      <c r="W54" s="8" t="s">
        <v>370</v>
      </c>
      <c r="X54" s="8" t="s">
        <v>574</v>
      </c>
      <c r="Y54" s="9" t="s">
        <v>96</v>
      </c>
    </row>
    <row r="55" customFormat="false" ht="15" hidden="false" customHeight="false" outlineLevel="0" collapsed="false">
      <c r="A55" s="8" t="s">
        <v>591</v>
      </c>
      <c r="B55" s="8" t="s">
        <v>592</v>
      </c>
      <c r="C55" s="8" t="s">
        <v>593</v>
      </c>
      <c r="D55" s="8" t="n">
        <v>125.3</v>
      </c>
      <c r="E55" s="8"/>
      <c r="F55" s="8" t="n">
        <v>96.29</v>
      </c>
      <c r="G55" s="8" t="n">
        <v>12070</v>
      </c>
      <c r="H55" s="8" t="n">
        <v>0.77</v>
      </c>
      <c r="I55" s="8"/>
      <c r="J55" s="13" t="str">
        <f aca="false">IF(AND(ISNUMBER(D55),ISNUMBER(I55)),D55*I55,"")</f>
        <v/>
      </c>
      <c r="K55" s="8"/>
      <c r="L55" s="8" t="n">
        <v>61</v>
      </c>
      <c r="M55" s="8"/>
      <c r="N55" s="8" t="n">
        <v>2200</v>
      </c>
      <c r="O55" s="8"/>
      <c r="P55" s="8"/>
      <c r="Q55" s="8"/>
      <c r="R55" s="8"/>
      <c r="S55" s="8"/>
      <c r="T55" s="8"/>
      <c r="U55" s="8"/>
      <c r="V55" s="8" t="s">
        <v>594</v>
      </c>
      <c r="W55" s="8" t="s">
        <v>595</v>
      </c>
      <c r="X55" s="8" t="s">
        <v>370</v>
      </c>
      <c r="Y55" s="9" t="s">
        <v>96</v>
      </c>
    </row>
    <row r="56" customFormat="false" ht="15" hidden="false" customHeight="false" outlineLevel="0" collapsed="false">
      <c r="A56" s="8" t="s">
        <v>596</v>
      </c>
      <c r="B56" s="8" t="s">
        <v>597</v>
      </c>
      <c r="C56" s="8" t="s">
        <v>598</v>
      </c>
      <c r="D56" s="8" t="n">
        <v>14.4</v>
      </c>
      <c r="E56" s="8"/>
      <c r="F56" s="8" t="n">
        <v>21.3</v>
      </c>
      <c r="G56" s="8" t="n">
        <v>308</v>
      </c>
      <c r="H56" s="14" t="n">
        <f aca="false">IF(AND(ISNUMBER(D56),ISNUMBER(F56)),F56/D56,"")</f>
        <v>1.47916666666667</v>
      </c>
      <c r="I56" s="8"/>
      <c r="J56" s="13" t="str">
        <f aca="false">IF(AND(ISNUMBER(D56),ISNUMBER(I56)),D56*I56,"")</f>
        <v/>
      </c>
      <c r="K56" s="8"/>
      <c r="L56" s="8" t="n">
        <v>1.9</v>
      </c>
      <c r="M56" s="8"/>
      <c r="N56" s="8"/>
      <c r="O56" s="8"/>
      <c r="P56" s="8"/>
      <c r="Q56" s="8"/>
      <c r="R56" s="8"/>
      <c r="S56" s="8"/>
      <c r="T56" s="8"/>
      <c r="U56" s="8" t="n">
        <v>1200</v>
      </c>
      <c r="V56" s="8"/>
      <c r="W56" s="8" t="s">
        <v>599</v>
      </c>
      <c r="X56" s="8" t="s">
        <v>370</v>
      </c>
      <c r="Y56" s="9" t="s">
        <v>96</v>
      </c>
    </row>
    <row r="57" customFormat="false" ht="15" hidden="false" customHeight="false" outlineLevel="0" collapsed="false">
      <c r="A57" s="8" t="s">
        <v>596</v>
      </c>
      <c r="B57" s="8" t="s">
        <v>600</v>
      </c>
      <c r="C57" s="8" t="s">
        <v>598</v>
      </c>
      <c r="D57" s="8" t="n">
        <v>19.8</v>
      </c>
      <c r="E57" s="8"/>
      <c r="F57" s="8" t="n">
        <v>34.6</v>
      </c>
      <c r="G57" s="8" t="n">
        <v>685</v>
      </c>
      <c r="H57" s="14" t="n">
        <f aca="false">IF(AND(ISNUMBER(D57),ISNUMBER(F57)),F57/D57,"")</f>
        <v>1.74747474747475</v>
      </c>
      <c r="I57" s="8"/>
      <c r="J57" s="13" t="str">
        <f aca="false">IF(AND(ISNUMBER(D57),ISNUMBER(I57)),D57*I57,"")</f>
        <v/>
      </c>
      <c r="K57" s="8"/>
      <c r="L57" s="8" t="n">
        <v>3.3</v>
      </c>
      <c r="M57" s="8"/>
      <c r="N57" s="8"/>
      <c r="O57" s="8"/>
      <c r="P57" s="8"/>
      <c r="Q57" s="8"/>
      <c r="R57" s="8"/>
      <c r="S57" s="8"/>
      <c r="T57" s="8"/>
      <c r="U57" s="8" t="n">
        <v>1100</v>
      </c>
      <c r="V57" s="8"/>
      <c r="W57" s="8" t="s">
        <v>599</v>
      </c>
      <c r="X57" s="8" t="s">
        <v>370</v>
      </c>
      <c r="Y57" s="9" t="s">
        <v>96</v>
      </c>
    </row>
    <row r="58" customFormat="false" ht="15" hidden="false" customHeight="false" outlineLevel="0" collapsed="false">
      <c r="A58" s="8" t="s">
        <v>596</v>
      </c>
      <c r="B58" s="8" t="s">
        <v>601</v>
      </c>
      <c r="C58" s="8" t="s">
        <v>598</v>
      </c>
      <c r="D58" s="8" t="n">
        <v>24</v>
      </c>
      <c r="E58" s="8"/>
      <c r="F58" s="8" t="n">
        <v>39.6</v>
      </c>
      <c r="G58" s="8" t="n">
        <v>950</v>
      </c>
      <c r="H58" s="14" t="n">
        <f aca="false">IF(AND(ISNUMBER(D58),ISNUMBER(F58)),F58/D58,"")</f>
        <v>1.65</v>
      </c>
      <c r="I58" s="8"/>
      <c r="J58" s="13" t="str">
        <f aca="false">IF(AND(ISNUMBER(D58),ISNUMBER(I58)),D58*I58,"")</f>
        <v/>
      </c>
      <c r="K58" s="8"/>
      <c r="L58" s="8" t="n">
        <v>5.1</v>
      </c>
      <c r="M58" s="8"/>
      <c r="N58" s="8"/>
      <c r="O58" s="8"/>
      <c r="P58" s="8"/>
      <c r="Q58" s="8"/>
      <c r="R58" s="8"/>
      <c r="S58" s="8"/>
      <c r="T58" s="8"/>
      <c r="U58" s="8" t="n">
        <v>1400</v>
      </c>
      <c r="V58" s="8"/>
      <c r="W58" s="8" t="s">
        <v>599</v>
      </c>
      <c r="X58" s="8" t="s">
        <v>370</v>
      </c>
      <c r="Y58" s="9" t="s">
        <v>96</v>
      </c>
    </row>
    <row r="59" customFormat="false" ht="15" hidden="false" customHeight="false" outlineLevel="0" collapsed="false">
      <c r="A59" s="8" t="s">
        <v>596</v>
      </c>
      <c r="B59" s="8" t="s">
        <v>602</v>
      </c>
      <c r="C59" s="8" t="s">
        <v>598</v>
      </c>
      <c r="D59" s="8" t="n">
        <v>42</v>
      </c>
      <c r="E59" s="8"/>
      <c r="F59" s="8" t="n">
        <v>39.3</v>
      </c>
      <c r="G59" s="8" t="n">
        <v>1650</v>
      </c>
      <c r="H59" s="14" t="n">
        <f aca="false">IF(AND(ISNUMBER(D59),ISNUMBER(F59)),F59/D59,"")</f>
        <v>0.935714285714286</v>
      </c>
      <c r="I59" s="8"/>
      <c r="J59" s="13" t="str">
        <f aca="false">IF(AND(ISNUMBER(D59),ISNUMBER(I59)),D59*I59,"")</f>
        <v/>
      </c>
      <c r="K59" s="8"/>
      <c r="L59" s="8" t="n">
        <v>9.8</v>
      </c>
      <c r="M59" s="8"/>
      <c r="N59" s="8"/>
      <c r="O59" s="8"/>
      <c r="P59" s="8"/>
      <c r="Q59" s="8"/>
      <c r="R59" s="8"/>
      <c r="S59" s="8"/>
      <c r="T59" s="8"/>
      <c r="U59" s="8" t="n">
        <v>2400</v>
      </c>
      <c r="V59" s="8"/>
      <c r="W59" s="8" t="s">
        <v>599</v>
      </c>
      <c r="X59" s="8" t="s">
        <v>370</v>
      </c>
      <c r="Y59" s="9" t="s">
        <v>96</v>
      </c>
    </row>
    <row r="60" customFormat="false" ht="15" hidden="false" customHeight="false" outlineLevel="0" collapsed="false">
      <c r="A60" s="8" t="s">
        <v>596</v>
      </c>
      <c r="B60" s="8" t="s">
        <v>603</v>
      </c>
      <c r="C60" s="8" t="s">
        <v>598</v>
      </c>
      <c r="D60" s="8" t="n">
        <v>37</v>
      </c>
      <c r="E60" s="8"/>
      <c r="F60" s="8" t="n">
        <v>41.8</v>
      </c>
      <c r="G60" s="8" t="n">
        <v>1550</v>
      </c>
      <c r="H60" s="14" t="n">
        <f aca="false">IF(AND(ISNUMBER(D60),ISNUMBER(F60)),F60/D60,"")</f>
        <v>1.12972972972973</v>
      </c>
      <c r="I60" s="8"/>
      <c r="J60" s="13" t="str">
        <f aca="false">IF(AND(ISNUMBER(D60),ISNUMBER(I60)),D60*I60,"")</f>
        <v/>
      </c>
      <c r="K60" s="8"/>
      <c r="L60" s="8" t="n">
        <v>8.5</v>
      </c>
      <c r="M60" s="8"/>
      <c r="N60" s="8"/>
      <c r="O60" s="8"/>
      <c r="P60" s="8"/>
      <c r="Q60" s="8"/>
      <c r="R60" s="8"/>
      <c r="S60" s="8"/>
      <c r="T60" s="8"/>
      <c r="U60" s="8" t="n">
        <v>2000</v>
      </c>
      <c r="V60" s="8"/>
      <c r="W60" s="8" t="s">
        <v>599</v>
      </c>
      <c r="X60" s="8" t="s">
        <v>370</v>
      </c>
      <c r="Y60" s="9" t="s">
        <v>96</v>
      </c>
    </row>
    <row r="61" customFormat="false" ht="15" hidden="false" customHeight="false" outlineLevel="0" collapsed="false">
      <c r="A61" s="8" t="s">
        <v>596</v>
      </c>
      <c r="B61" s="8" t="s">
        <v>604</v>
      </c>
      <c r="C61" s="8" t="s">
        <v>598</v>
      </c>
      <c r="D61" s="8" t="n">
        <v>41</v>
      </c>
      <c r="E61" s="8"/>
      <c r="F61" s="8" t="n">
        <v>47</v>
      </c>
      <c r="G61" s="8" t="n">
        <v>1930</v>
      </c>
      <c r="H61" s="14" t="n">
        <f aca="false">IF(AND(ISNUMBER(D61),ISNUMBER(F61)),F61/D61,"")</f>
        <v>1.14634146341463</v>
      </c>
      <c r="I61" s="8"/>
      <c r="J61" s="13" t="str">
        <f aca="false">IF(AND(ISNUMBER(D61),ISNUMBER(I61)),D61*I61,"")</f>
        <v/>
      </c>
      <c r="K61" s="8"/>
      <c r="L61" s="8" t="n">
        <v>9.8</v>
      </c>
      <c r="M61" s="8"/>
      <c r="N61" s="8"/>
      <c r="O61" s="8"/>
      <c r="P61" s="8"/>
      <c r="Q61" s="8"/>
      <c r="R61" s="8"/>
      <c r="S61" s="8"/>
      <c r="T61" s="8"/>
      <c r="U61" s="8" t="n">
        <v>2140</v>
      </c>
      <c r="V61" s="8"/>
      <c r="W61" s="8" t="s">
        <v>599</v>
      </c>
      <c r="X61" s="8" t="s">
        <v>370</v>
      </c>
      <c r="Y61" s="9" t="s">
        <v>96</v>
      </c>
    </row>
    <row r="62" customFormat="false" ht="15" hidden="false" customHeight="false" outlineLevel="0" collapsed="false">
      <c r="A62" s="8" t="s">
        <v>596</v>
      </c>
      <c r="B62" s="8" t="s">
        <v>605</v>
      </c>
      <c r="C62" s="8" t="s">
        <v>598</v>
      </c>
      <c r="D62" s="8" t="n">
        <v>86</v>
      </c>
      <c r="E62" s="8"/>
      <c r="F62" s="8" t="n">
        <v>48.2</v>
      </c>
      <c r="G62" s="8" t="n">
        <v>4150</v>
      </c>
      <c r="H62" s="14" t="n">
        <f aca="false">IF(AND(ISNUMBER(D62),ISNUMBER(F62)),F62/D62,"")</f>
        <v>0.56046511627907</v>
      </c>
      <c r="I62" s="8"/>
      <c r="J62" s="13" t="str">
        <f aca="false">IF(AND(ISNUMBER(D62),ISNUMBER(I62)),D62*I62,"")</f>
        <v/>
      </c>
      <c r="K62" s="8"/>
      <c r="L62" s="8" t="n">
        <v>22</v>
      </c>
      <c r="M62" s="8"/>
      <c r="N62" s="8"/>
      <c r="O62" s="8"/>
      <c r="P62" s="8"/>
      <c r="Q62" s="8"/>
      <c r="R62" s="8"/>
      <c r="S62" s="8"/>
      <c r="T62" s="8"/>
      <c r="U62" s="8" t="n">
        <v>4300</v>
      </c>
      <c r="V62" s="8"/>
      <c r="W62" s="8" t="s">
        <v>599</v>
      </c>
      <c r="X62" s="8" t="s">
        <v>370</v>
      </c>
      <c r="Y62" s="9" t="s">
        <v>96</v>
      </c>
    </row>
    <row r="63" customFormat="false" ht="15" hidden="false" customHeight="false" outlineLevel="0" collapsed="false">
      <c r="A63" s="8" t="s">
        <v>596</v>
      </c>
      <c r="B63" s="8" t="s">
        <v>606</v>
      </c>
      <c r="C63" s="8" t="s">
        <v>598</v>
      </c>
      <c r="D63" s="8" t="n">
        <v>111</v>
      </c>
      <c r="E63" s="8"/>
      <c r="F63" s="8" t="n">
        <v>58</v>
      </c>
      <c r="G63" s="8" t="n">
        <v>6440</v>
      </c>
      <c r="H63" s="14" t="n">
        <f aca="false">IF(AND(ISNUMBER(D63),ISNUMBER(F63)),F63/D63,"")</f>
        <v>0.522522522522523</v>
      </c>
      <c r="I63" s="8"/>
      <c r="J63" s="13" t="str">
        <f aca="false">IF(AND(ISNUMBER(D63),ISNUMBER(I63)),D63*I63,"")</f>
        <v/>
      </c>
      <c r="K63" s="8"/>
      <c r="L63" s="8" t="n">
        <v>34</v>
      </c>
      <c r="M63" s="8"/>
      <c r="N63" s="8"/>
      <c r="O63" s="8"/>
      <c r="P63" s="8"/>
      <c r="Q63" s="8"/>
      <c r="R63" s="8"/>
      <c r="S63" s="8"/>
      <c r="T63" s="8"/>
      <c r="U63" s="8" t="n">
        <v>4690</v>
      </c>
      <c r="V63" s="8"/>
      <c r="W63" s="8" t="s">
        <v>599</v>
      </c>
      <c r="X63" s="8" t="s">
        <v>370</v>
      </c>
      <c r="Y63" s="9" t="s">
        <v>96</v>
      </c>
    </row>
    <row r="64" customFormat="false" ht="15" hidden="false" customHeight="false" outlineLevel="0" collapsed="false">
      <c r="A64" s="8" t="s">
        <v>596</v>
      </c>
      <c r="B64" s="8" t="s">
        <v>607</v>
      </c>
      <c r="C64" s="8" t="s">
        <v>598</v>
      </c>
      <c r="D64" s="8" t="n">
        <v>119</v>
      </c>
      <c r="E64" s="8"/>
      <c r="F64" s="8" t="n">
        <v>67.5</v>
      </c>
      <c r="G64" s="8" t="n">
        <v>8030</v>
      </c>
      <c r="H64" s="14" t="n">
        <f aca="false">IF(AND(ISNUMBER(D64),ISNUMBER(F64)),F64/D64,"")</f>
        <v>0.567226890756303</v>
      </c>
      <c r="I64" s="8"/>
      <c r="J64" s="13" t="str">
        <f aca="false">IF(AND(ISNUMBER(D64),ISNUMBER(I64)),D64*I64,"")</f>
        <v/>
      </c>
      <c r="K64" s="8"/>
      <c r="L64" s="8" t="n">
        <v>41</v>
      </c>
      <c r="M64" s="8"/>
      <c r="N64" s="8"/>
      <c r="O64" s="8"/>
      <c r="P64" s="8"/>
      <c r="Q64" s="8"/>
      <c r="R64" s="8"/>
      <c r="S64" s="8"/>
      <c r="T64" s="8"/>
      <c r="U64" s="8" t="n">
        <v>4400</v>
      </c>
      <c r="V64" s="8"/>
      <c r="W64" s="8" t="s">
        <v>599</v>
      </c>
      <c r="X64" s="8" t="s">
        <v>370</v>
      </c>
      <c r="Y64" s="9" t="s">
        <v>96</v>
      </c>
    </row>
    <row r="65" customFormat="false" ht="15" hidden="false" customHeight="false" outlineLevel="0" collapsed="false">
      <c r="A65" s="8" t="s">
        <v>596</v>
      </c>
      <c r="B65" s="8" t="s">
        <v>608</v>
      </c>
      <c r="C65" s="8" t="s">
        <v>598</v>
      </c>
      <c r="D65" s="8" t="n">
        <v>101</v>
      </c>
      <c r="E65" s="8"/>
      <c r="F65" s="8" t="n">
        <v>67.1</v>
      </c>
      <c r="G65" s="8" t="n">
        <v>6780</v>
      </c>
      <c r="H65" s="14" t="n">
        <f aca="false">IF(AND(ISNUMBER(D65),ISNUMBER(F65)),F65/D65,"")</f>
        <v>0.664356435643564</v>
      </c>
      <c r="I65" s="8"/>
      <c r="J65" s="13" t="str">
        <f aca="false">IF(AND(ISNUMBER(D65),ISNUMBER(I65)),D65*I65,"")</f>
        <v/>
      </c>
      <c r="K65" s="8"/>
      <c r="L65" s="8" t="n">
        <v>36</v>
      </c>
      <c r="M65" s="8"/>
      <c r="N65" s="8"/>
      <c r="O65" s="8"/>
      <c r="P65" s="8"/>
      <c r="Q65" s="8"/>
      <c r="R65" s="8"/>
      <c r="S65" s="8"/>
      <c r="T65" s="8"/>
      <c r="U65" s="8" t="n">
        <v>3800</v>
      </c>
      <c r="V65" s="8"/>
      <c r="W65" s="8" t="s">
        <v>599</v>
      </c>
      <c r="X65" s="8" t="s">
        <v>370</v>
      </c>
      <c r="Y65" s="9" t="s">
        <v>96</v>
      </c>
    </row>
    <row r="66" customFormat="false" ht="15" hidden="false" customHeight="false" outlineLevel="0" collapsed="false">
      <c r="A66" s="8" t="s">
        <v>596</v>
      </c>
      <c r="B66" s="8" t="s">
        <v>609</v>
      </c>
      <c r="C66" s="8" t="s">
        <v>598</v>
      </c>
      <c r="D66" s="8" t="n">
        <v>148</v>
      </c>
      <c r="E66" s="8"/>
      <c r="F66" s="8" t="n">
        <v>77</v>
      </c>
      <c r="G66" s="8" t="n">
        <v>11400</v>
      </c>
      <c r="H66" s="14" t="n">
        <f aca="false">IF(AND(ISNUMBER(D66),ISNUMBER(F66)),F66/D66,"")</f>
        <v>0.52027027027027</v>
      </c>
      <c r="I66" s="8"/>
      <c r="J66" s="13" t="str">
        <f aca="false">IF(AND(ISNUMBER(D66),ISNUMBER(I66)),D66*I66,"")</f>
        <v/>
      </c>
      <c r="K66" s="8"/>
      <c r="L66" s="8" t="n">
        <v>60</v>
      </c>
      <c r="M66" s="8"/>
      <c r="N66" s="8"/>
      <c r="O66" s="8"/>
      <c r="P66" s="8"/>
      <c r="Q66" s="8"/>
      <c r="R66" s="8"/>
      <c r="S66" s="8"/>
      <c r="T66" s="8"/>
      <c r="U66" s="8" t="n">
        <v>4860</v>
      </c>
      <c r="V66" s="8"/>
      <c r="W66" s="8" t="s">
        <v>599</v>
      </c>
      <c r="X66" s="8" t="s">
        <v>370</v>
      </c>
      <c r="Y66" s="9" t="s">
        <v>96</v>
      </c>
    </row>
    <row r="67" customFormat="false" ht="15" hidden="false" customHeight="false" outlineLevel="0" collapsed="false">
      <c r="A67" s="8" t="s">
        <v>596</v>
      </c>
      <c r="B67" s="8" t="s">
        <v>610</v>
      </c>
      <c r="C67" s="8" t="s">
        <v>598</v>
      </c>
      <c r="D67" s="8" t="n">
        <v>230</v>
      </c>
      <c r="E67" s="8"/>
      <c r="F67" s="8" t="n">
        <v>94</v>
      </c>
      <c r="G67" s="8" t="n">
        <v>21620</v>
      </c>
      <c r="H67" s="14" t="n">
        <f aca="false">IF(AND(ISNUMBER(D67),ISNUMBER(F67)),F67/D67,"")</f>
        <v>0.408695652173913</v>
      </c>
      <c r="I67" s="8"/>
      <c r="J67" s="13" t="str">
        <f aca="false">IF(AND(ISNUMBER(D67),ISNUMBER(I67)),D67*I67,"")</f>
        <v/>
      </c>
      <c r="K67" s="8"/>
      <c r="L67" s="8" t="n">
        <v>115</v>
      </c>
      <c r="M67" s="8"/>
      <c r="N67" s="8"/>
      <c r="O67" s="8"/>
      <c r="P67" s="8"/>
      <c r="Q67" s="8"/>
      <c r="R67" s="8"/>
      <c r="S67" s="8"/>
      <c r="T67" s="8"/>
      <c r="U67" s="8" t="n">
        <v>6110</v>
      </c>
      <c r="V67" s="8"/>
      <c r="W67" s="8" t="s">
        <v>599</v>
      </c>
      <c r="X67" s="8" t="s">
        <v>370</v>
      </c>
      <c r="Y67" s="9" t="s">
        <v>96</v>
      </c>
    </row>
    <row r="68" customFormat="false" ht="15" hidden="false" customHeight="false" outlineLevel="0" collapsed="false">
      <c r="A68" s="8" t="s">
        <v>596</v>
      </c>
      <c r="B68" s="8" t="s">
        <v>611</v>
      </c>
      <c r="C68" s="8" t="s">
        <v>598</v>
      </c>
      <c r="D68" s="8" t="n">
        <v>247</v>
      </c>
      <c r="E68" s="8"/>
      <c r="F68" s="8" t="n">
        <v>109</v>
      </c>
      <c r="G68" s="8" t="n">
        <v>26900</v>
      </c>
      <c r="H68" s="14" t="n">
        <f aca="false">IF(AND(ISNUMBER(D68),ISNUMBER(F68)),F68/D68,"")</f>
        <v>0.441295546558704</v>
      </c>
      <c r="I68" s="8"/>
      <c r="J68" s="13" t="str">
        <f aca="false">IF(AND(ISNUMBER(D68),ISNUMBER(I68)),D68*I68,"")</f>
        <v/>
      </c>
      <c r="K68" s="8"/>
      <c r="L68" s="8" t="n">
        <v>139</v>
      </c>
      <c r="M68" s="8"/>
      <c r="N68" s="8"/>
      <c r="O68" s="8"/>
      <c r="P68" s="8"/>
      <c r="Q68" s="8"/>
      <c r="R68" s="8"/>
      <c r="S68" s="8"/>
      <c r="T68" s="8"/>
      <c r="U68" s="8" t="n">
        <v>5670</v>
      </c>
      <c r="V68" s="8"/>
      <c r="W68" s="8" t="s">
        <v>599</v>
      </c>
      <c r="X68" s="8" t="s">
        <v>370</v>
      </c>
      <c r="Y68" s="9" t="s">
        <v>96</v>
      </c>
    </row>
    <row r="69" customFormat="false" ht="15" hidden="false" customHeight="false" outlineLevel="0" collapsed="false">
      <c r="A69" s="8" t="s">
        <v>612</v>
      </c>
      <c r="B69" s="8" t="s">
        <v>613</v>
      </c>
      <c r="C69" s="8" t="s">
        <v>598</v>
      </c>
      <c r="D69" s="8" t="n">
        <v>12.1</v>
      </c>
      <c r="E69" s="8"/>
      <c r="F69" s="8" t="n">
        <v>26.1</v>
      </c>
      <c r="G69" s="8" t="n">
        <v>315</v>
      </c>
      <c r="H69" s="14" t="n">
        <f aca="false">IF(AND(ISNUMBER(D69),ISNUMBER(F69)),F69/D69,"")</f>
        <v>2.15702479338843</v>
      </c>
      <c r="I69" s="8"/>
      <c r="J69" s="13" t="str">
        <f aca="false">IF(AND(ISNUMBER(D69),ISNUMBER(I69)),D69*I69,"")</f>
        <v/>
      </c>
      <c r="K69" s="8"/>
      <c r="L69" s="8" t="n">
        <v>1.5</v>
      </c>
      <c r="M69" s="8"/>
      <c r="N69" s="8"/>
      <c r="O69" s="8"/>
      <c r="P69" s="8"/>
      <c r="Q69" s="8"/>
      <c r="R69" s="8"/>
      <c r="S69" s="8"/>
      <c r="T69" s="8"/>
      <c r="U69" s="8" t="n">
        <v>850</v>
      </c>
      <c r="V69" s="8"/>
      <c r="W69" s="8" t="s">
        <v>599</v>
      </c>
      <c r="X69" s="8" t="s">
        <v>370</v>
      </c>
      <c r="Y69" s="9" t="s">
        <v>96</v>
      </c>
    </row>
    <row r="70" customFormat="false" ht="15" hidden="false" customHeight="false" outlineLevel="0" collapsed="false">
      <c r="A70" s="8" t="s">
        <v>612</v>
      </c>
      <c r="B70" s="8" t="s">
        <v>614</v>
      </c>
      <c r="C70" s="8" t="s">
        <v>598</v>
      </c>
      <c r="D70" s="8" t="n">
        <v>17.1</v>
      </c>
      <c r="E70" s="8"/>
      <c r="F70" s="8" t="n">
        <v>30.2</v>
      </c>
      <c r="G70" s="8" t="n">
        <v>517</v>
      </c>
      <c r="H70" s="14" t="n">
        <f aca="false">IF(AND(ISNUMBER(D70),ISNUMBER(F70)),F70/D70,"")</f>
        <v>1.76608187134503</v>
      </c>
      <c r="I70" s="8"/>
      <c r="J70" s="13" t="str">
        <f aca="false">IF(AND(ISNUMBER(D70),ISNUMBER(I70)),D70*I70,"")</f>
        <v/>
      </c>
      <c r="K70" s="8"/>
      <c r="L70" s="8" t="n">
        <v>2.7</v>
      </c>
      <c r="M70" s="8"/>
      <c r="N70" s="8"/>
      <c r="O70" s="8"/>
      <c r="P70" s="8"/>
      <c r="Q70" s="8"/>
      <c r="R70" s="8"/>
      <c r="S70" s="8"/>
      <c r="T70" s="8"/>
      <c r="U70" s="8" t="n">
        <v>1130</v>
      </c>
      <c r="V70" s="8"/>
      <c r="W70" s="8" t="s">
        <v>599</v>
      </c>
      <c r="X70" s="8" t="s">
        <v>370</v>
      </c>
      <c r="Y70" s="9" t="s">
        <v>96</v>
      </c>
    </row>
    <row r="71" customFormat="false" ht="15" hidden="false" customHeight="false" outlineLevel="0" collapsed="false">
      <c r="A71" s="8" t="s">
        <v>612</v>
      </c>
      <c r="B71" s="8" t="s">
        <v>615</v>
      </c>
      <c r="C71" s="8" t="s">
        <v>598</v>
      </c>
      <c r="D71" s="8" t="n">
        <v>19</v>
      </c>
      <c r="E71" s="8"/>
      <c r="F71" s="8" t="n">
        <v>34.5</v>
      </c>
      <c r="G71" s="8" t="n">
        <v>656</v>
      </c>
      <c r="H71" s="14" t="n">
        <f aca="false">IF(AND(ISNUMBER(D71),ISNUMBER(F71)),F71/D71,"")</f>
        <v>1.81578947368421</v>
      </c>
      <c r="I71" s="8"/>
      <c r="J71" s="13" t="str">
        <f aca="false">IF(AND(ISNUMBER(D71),ISNUMBER(I71)),D71*I71,"")</f>
        <v/>
      </c>
      <c r="K71" s="8"/>
      <c r="L71" s="8" t="n">
        <v>3.3</v>
      </c>
      <c r="M71" s="8"/>
      <c r="N71" s="8"/>
      <c r="O71" s="8"/>
      <c r="P71" s="8"/>
      <c r="Q71" s="8"/>
      <c r="R71" s="8"/>
      <c r="S71" s="8"/>
      <c r="T71" s="8"/>
      <c r="U71" s="8" t="n">
        <v>1140</v>
      </c>
      <c r="V71" s="8"/>
      <c r="W71" s="8" t="s">
        <v>599</v>
      </c>
      <c r="X71" s="8" t="s">
        <v>370</v>
      </c>
      <c r="Y71" s="9" t="s">
        <v>96</v>
      </c>
    </row>
    <row r="72" customFormat="false" ht="15" hidden="false" customHeight="false" outlineLevel="0" collapsed="false">
      <c r="A72" s="8" t="s">
        <v>612</v>
      </c>
      <c r="B72" s="8" t="s">
        <v>616</v>
      </c>
      <c r="C72" s="8" t="s">
        <v>598</v>
      </c>
      <c r="D72" s="8" t="n">
        <v>23</v>
      </c>
      <c r="E72" s="8"/>
      <c r="F72" s="8" t="n">
        <v>39.4</v>
      </c>
      <c r="G72" s="8" t="n">
        <v>906</v>
      </c>
      <c r="H72" s="14" t="n">
        <f aca="false">IF(AND(ISNUMBER(D72),ISNUMBER(F72)),F72/D72,"")</f>
        <v>1.71304347826087</v>
      </c>
      <c r="I72" s="8"/>
      <c r="J72" s="13" t="str">
        <f aca="false">IF(AND(ISNUMBER(D72),ISNUMBER(I72)),D72*I72,"")</f>
        <v/>
      </c>
      <c r="K72" s="8"/>
      <c r="L72" s="8" t="n">
        <v>4.8</v>
      </c>
      <c r="M72" s="8"/>
      <c r="N72" s="8"/>
      <c r="O72" s="8"/>
      <c r="P72" s="8"/>
      <c r="Q72" s="8"/>
      <c r="R72" s="8"/>
      <c r="S72" s="8"/>
      <c r="T72" s="8"/>
      <c r="U72" s="8" t="n">
        <v>1250</v>
      </c>
      <c r="V72" s="8"/>
      <c r="W72" s="8" t="s">
        <v>599</v>
      </c>
      <c r="X72" s="8" t="s">
        <v>370</v>
      </c>
      <c r="Y72" s="9" t="s">
        <v>96</v>
      </c>
    </row>
    <row r="73" customFormat="false" ht="15" hidden="false" customHeight="false" outlineLevel="0" collapsed="false">
      <c r="A73" s="8" t="s">
        <v>612</v>
      </c>
      <c r="B73" s="8" t="s">
        <v>617</v>
      </c>
      <c r="C73" s="8" t="s">
        <v>598</v>
      </c>
      <c r="D73" s="8" t="n">
        <v>41</v>
      </c>
      <c r="E73" s="8"/>
      <c r="F73" s="8" t="n">
        <v>39.6</v>
      </c>
      <c r="G73" s="8" t="n">
        <v>1620</v>
      </c>
      <c r="H73" s="14" t="n">
        <f aca="false">IF(AND(ISNUMBER(D73),ISNUMBER(F73)),F73/D73,"")</f>
        <v>0.965853658536585</v>
      </c>
      <c r="I73" s="8"/>
      <c r="J73" s="13" t="str">
        <f aca="false">IF(AND(ISNUMBER(D73),ISNUMBER(I73)),D73*I73,"")</f>
        <v/>
      </c>
      <c r="K73" s="8"/>
      <c r="L73" s="8" t="n">
        <v>8.8</v>
      </c>
      <c r="M73" s="8"/>
      <c r="N73" s="8"/>
      <c r="O73" s="8"/>
      <c r="P73" s="8"/>
      <c r="Q73" s="8"/>
      <c r="R73" s="8"/>
      <c r="S73" s="8"/>
      <c r="T73" s="8"/>
      <c r="U73" s="8" t="n">
        <v>2180</v>
      </c>
      <c r="V73" s="8"/>
      <c r="W73" s="8" t="s">
        <v>599</v>
      </c>
      <c r="X73" s="8" t="s">
        <v>370</v>
      </c>
      <c r="Y73" s="9" t="s">
        <v>96</v>
      </c>
    </row>
    <row r="74" customFormat="false" ht="15" hidden="false" customHeight="false" outlineLevel="0" collapsed="false">
      <c r="A74" s="8" t="s">
        <v>612</v>
      </c>
      <c r="B74" s="8" t="s">
        <v>618</v>
      </c>
      <c r="C74" s="8" t="s">
        <v>598</v>
      </c>
      <c r="D74" s="8" t="n">
        <v>40</v>
      </c>
      <c r="E74" s="8"/>
      <c r="F74" s="8" t="n">
        <v>48.7</v>
      </c>
      <c r="G74" s="8" t="n">
        <v>1950</v>
      </c>
      <c r="H74" s="14" t="n">
        <f aca="false">IF(AND(ISNUMBER(D74),ISNUMBER(F74)),F74/D74,"")</f>
        <v>1.2175</v>
      </c>
      <c r="I74" s="8"/>
      <c r="J74" s="13" t="str">
        <f aca="false">IF(AND(ISNUMBER(D74),ISNUMBER(I74)),D74*I74,"")</f>
        <v/>
      </c>
      <c r="K74" s="8"/>
      <c r="L74" s="8" t="n">
        <v>9.1</v>
      </c>
      <c r="M74" s="8"/>
      <c r="N74" s="8"/>
      <c r="O74" s="8"/>
      <c r="P74" s="8"/>
      <c r="Q74" s="8"/>
      <c r="R74" s="8"/>
      <c r="S74" s="8"/>
      <c r="T74" s="8"/>
      <c r="U74" s="8" t="n">
        <v>2000</v>
      </c>
      <c r="V74" s="8"/>
      <c r="W74" s="8" t="s">
        <v>599</v>
      </c>
      <c r="X74" s="8" t="s">
        <v>370</v>
      </c>
      <c r="Y74" s="9" t="s">
        <v>96</v>
      </c>
    </row>
    <row r="75" customFormat="false" ht="15" hidden="false" customHeight="false" outlineLevel="0" collapsed="false">
      <c r="A75" s="8" t="s">
        <v>612</v>
      </c>
      <c r="B75" s="8" t="s">
        <v>619</v>
      </c>
      <c r="C75" s="8" t="s">
        <v>598</v>
      </c>
      <c r="D75" s="8" t="n">
        <v>109</v>
      </c>
      <c r="E75" s="8"/>
      <c r="F75" s="8" t="n">
        <v>57.7</v>
      </c>
      <c r="G75" s="8" t="n">
        <v>6290</v>
      </c>
      <c r="H75" s="14" t="n">
        <f aca="false">IF(AND(ISNUMBER(D75),ISNUMBER(F75)),F75/D75,"")</f>
        <v>0.529357798165138</v>
      </c>
      <c r="I75" s="8"/>
      <c r="J75" s="13" t="str">
        <f aca="false">IF(AND(ISNUMBER(D75),ISNUMBER(I75)),D75*I75,"")</f>
        <v/>
      </c>
      <c r="K75" s="8"/>
      <c r="L75" s="8" t="n">
        <v>32</v>
      </c>
      <c r="M75" s="8"/>
      <c r="N75" s="8"/>
      <c r="O75" s="8"/>
      <c r="P75" s="8"/>
      <c r="Q75" s="8"/>
      <c r="R75" s="8"/>
      <c r="S75" s="8"/>
      <c r="T75" s="8"/>
      <c r="U75" s="8" t="n">
        <v>4690</v>
      </c>
      <c r="V75" s="8"/>
      <c r="W75" s="8" t="s">
        <v>599</v>
      </c>
      <c r="X75" s="8" t="s">
        <v>370</v>
      </c>
      <c r="Y75" s="9" t="s">
        <v>96</v>
      </c>
    </row>
    <row r="76" customFormat="false" ht="15" hidden="false" customHeight="false" outlineLevel="0" collapsed="false">
      <c r="A76" s="8" t="s">
        <v>612</v>
      </c>
      <c r="B76" s="8" t="s">
        <v>620</v>
      </c>
      <c r="C76" s="8" t="s">
        <v>598</v>
      </c>
      <c r="D76" s="8" t="n">
        <v>84.9</v>
      </c>
      <c r="E76" s="8"/>
      <c r="F76" s="8" t="n">
        <v>69.6</v>
      </c>
      <c r="G76" s="8" t="n">
        <v>5907</v>
      </c>
      <c r="H76" s="14" t="n">
        <f aca="false">IF(AND(ISNUMBER(D76),ISNUMBER(F76)),F76/D76,"")</f>
        <v>0.819787985865724</v>
      </c>
      <c r="I76" s="8"/>
      <c r="J76" s="13" t="str">
        <f aca="false">IF(AND(ISNUMBER(D76),ISNUMBER(I76)),D76*I76,"")</f>
        <v/>
      </c>
      <c r="K76" s="8"/>
      <c r="L76" s="8" t="n">
        <v>28</v>
      </c>
      <c r="M76" s="8"/>
      <c r="N76" s="8"/>
      <c r="O76" s="8"/>
      <c r="P76" s="8"/>
      <c r="Q76" s="8"/>
      <c r="R76" s="8"/>
      <c r="S76" s="8"/>
      <c r="T76" s="8"/>
      <c r="U76" s="8" t="n">
        <v>2950</v>
      </c>
      <c r="V76" s="8"/>
      <c r="W76" s="8" t="s">
        <v>599</v>
      </c>
      <c r="X76" s="8" t="s">
        <v>370</v>
      </c>
      <c r="Y76" s="9" t="s">
        <v>96</v>
      </c>
    </row>
    <row r="77" customFormat="false" ht="15" hidden="false" customHeight="false" outlineLevel="0" collapsed="false">
      <c r="A77" s="8" t="s">
        <v>612</v>
      </c>
      <c r="B77" s="8" t="s">
        <v>621</v>
      </c>
      <c r="C77" s="8" t="s">
        <v>598</v>
      </c>
      <c r="D77" s="8" t="n">
        <v>128</v>
      </c>
      <c r="E77" s="8"/>
      <c r="F77" s="8" t="n">
        <v>77.3</v>
      </c>
      <c r="G77" s="8" t="n">
        <v>9890</v>
      </c>
      <c r="H77" s="14" t="n">
        <f aca="false">IF(AND(ISNUMBER(D77),ISNUMBER(F77)),F77/D77,"")</f>
        <v>0.60390625</v>
      </c>
      <c r="I77" s="8"/>
      <c r="J77" s="13" t="str">
        <f aca="false">IF(AND(ISNUMBER(D77),ISNUMBER(I77)),D77*I77,"")</f>
        <v/>
      </c>
      <c r="K77" s="8"/>
      <c r="L77" s="8" t="n">
        <v>50</v>
      </c>
      <c r="M77" s="8"/>
      <c r="N77" s="8"/>
      <c r="O77" s="8"/>
      <c r="P77" s="8"/>
      <c r="Q77" s="8"/>
      <c r="R77" s="8"/>
      <c r="S77" s="8"/>
      <c r="T77" s="8"/>
      <c r="U77" s="8" t="n">
        <v>4150</v>
      </c>
      <c r="V77" s="8"/>
      <c r="W77" s="8" t="s">
        <v>599</v>
      </c>
      <c r="X77" s="8" t="s">
        <v>370</v>
      </c>
      <c r="Y77" s="9" t="s">
        <v>96</v>
      </c>
    </row>
    <row r="78" customFormat="false" ht="15" hidden="false" customHeight="false" outlineLevel="0" collapsed="false">
      <c r="A78" s="8" t="s">
        <v>612</v>
      </c>
      <c r="B78" s="8" t="s">
        <v>622</v>
      </c>
      <c r="C78" s="8" t="s">
        <v>598</v>
      </c>
      <c r="D78" s="8" t="n">
        <v>182</v>
      </c>
      <c r="E78" s="8"/>
      <c r="F78" s="8" t="n">
        <v>97</v>
      </c>
      <c r="G78" s="8" t="n">
        <v>17600</v>
      </c>
      <c r="H78" s="14" t="n">
        <f aca="false">IF(AND(ISNUMBER(D78),ISNUMBER(F78)),F78/D78,"")</f>
        <v>0.532967032967033</v>
      </c>
      <c r="I78" s="8"/>
      <c r="J78" s="13" t="str">
        <f aca="false">IF(AND(ISNUMBER(D78),ISNUMBER(I78)),D78*I78,"")</f>
        <v/>
      </c>
      <c r="K78" s="8"/>
      <c r="L78" s="8" t="n">
        <v>80</v>
      </c>
      <c r="M78" s="8"/>
      <c r="N78" s="8"/>
      <c r="O78" s="8"/>
      <c r="P78" s="8"/>
      <c r="Q78" s="8"/>
      <c r="R78" s="8"/>
      <c r="S78" s="8"/>
      <c r="T78" s="8"/>
      <c r="U78" s="8" t="n">
        <v>4700</v>
      </c>
      <c r="V78" s="8"/>
      <c r="W78" s="8" t="s">
        <v>599</v>
      </c>
      <c r="X78" s="8" t="s">
        <v>370</v>
      </c>
      <c r="Y78" s="9" t="s">
        <v>96</v>
      </c>
    </row>
    <row r="79" customFormat="false" ht="15" hidden="false" customHeight="false" outlineLevel="0" collapsed="false">
      <c r="A79" s="8" t="s">
        <v>612</v>
      </c>
      <c r="B79" s="8" t="s">
        <v>623</v>
      </c>
      <c r="C79" s="8" t="s">
        <v>598</v>
      </c>
      <c r="D79" s="8" t="n">
        <v>354</v>
      </c>
      <c r="E79" s="8"/>
      <c r="F79" s="8" t="n">
        <v>123</v>
      </c>
      <c r="G79" s="8" t="n">
        <v>43700</v>
      </c>
      <c r="H79" s="14" t="n">
        <f aca="false">IF(AND(ISNUMBER(D79),ISNUMBER(F79)),F79/D79,"")</f>
        <v>0.347457627118644</v>
      </c>
      <c r="I79" s="8"/>
      <c r="J79" s="13" t="str">
        <f aca="false">IF(AND(ISNUMBER(D79),ISNUMBER(I79)),D79*I79,"")</f>
        <v/>
      </c>
      <c r="K79" s="8"/>
      <c r="L79" s="8" t="n">
        <v>234</v>
      </c>
      <c r="M79" s="8"/>
      <c r="N79" s="8"/>
      <c r="O79" s="8"/>
      <c r="P79" s="8"/>
      <c r="Q79" s="8"/>
      <c r="R79" s="8"/>
      <c r="S79" s="8"/>
      <c r="T79" s="8"/>
      <c r="U79" s="8" t="n">
        <v>7100</v>
      </c>
      <c r="V79" s="8"/>
      <c r="W79" s="8" t="s">
        <v>599</v>
      </c>
      <c r="X79" s="8" t="s">
        <v>370</v>
      </c>
      <c r="Y79" s="9" t="s">
        <v>96</v>
      </c>
    </row>
    <row r="80" customFormat="false" ht="15" hidden="false" customHeight="false" outlineLevel="0" collapsed="false">
      <c r="A80" s="8" t="s">
        <v>612</v>
      </c>
      <c r="B80" s="8" t="s">
        <v>624</v>
      </c>
      <c r="C80" s="8" t="s">
        <v>598</v>
      </c>
      <c r="D80" s="8" t="n">
        <v>247</v>
      </c>
      <c r="E80" s="8"/>
      <c r="F80" s="8" t="n">
        <v>110</v>
      </c>
      <c r="G80" s="8" t="n">
        <v>27100</v>
      </c>
      <c r="H80" s="14" t="n">
        <f aca="false">IF(AND(ISNUMBER(D80),ISNUMBER(F80)),F80/D80,"")</f>
        <v>0.445344129554656</v>
      </c>
      <c r="I80" s="8"/>
      <c r="J80" s="13" t="str">
        <f aca="false">IF(AND(ISNUMBER(D80),ISNUMBER(I80)),D80*I80,"")</f>
        <v/>
      </c>
      <c r="K80" s="8"/>
      <c r="L80" s="8" t="n">
        <v>135</v>
      </c>
      <c r="M80" s="8"/>
      <c r="N80" s="8"/>
      <c r="O80" s="8"/>
      <c r="P80" s="8"/>
      <c r="Q80" s="8"/>
      <c r="R80" s="8"/>
      <c r="S80" s="8"/>
      <c r="T80" s="8"/>
      <c r="U80" s="8" t="n">
        <v>5670</v>
      </c>
      <c r="V80" s="8"/>
      <c r="W80" s="8" t="s">
        <v>599</v>
      </c>
      <c r="X80" s="8" t="s">
        <v>370</v>
      </c>
      <c r="Y80" s="9" t="s">
        <v>96</v>
      </c>
    </row>
    <row r="81" customFormat="false" ht="15" hidden="false" customHeight="false" outlineLevel="0" collapsed="false">
      <c r="A81" s="8" t="s">
        <v>625</v>
      </c>
      <c r="B81" s="8" t="s">
        <v>626</v>
      </c>
      <c r="C81" s="8" t="s">
        <v>598</v>
      </c>
      <c r="D81" s="8" t="n">
        <v>44.8</v>
      </c>
      <c r="E81" s="8"/>
      <c r="F81" s="8" t="n">
        <v>48.2</v>
      </c>
      <c r="G81" s="8" t="n">
        <v>2160</v>
      </c>
      <c r="H81" s="14" t="n">
        <f aca="false">IF(AND(ISNUMBER(D81),ISNUMBER(F81)),F81/D81,"")</f>
        <v>1.07589285714286</v>
      </c>
      <c r="I81" s="8"/>
      <c r="J81" s="13" t="str">
        <f aca="false">IF(AND(ISNUMBER(D81),ISNUMBER(I81)),D81*I81,"")</f>
        <v/>
      </c>
      <c r="K81" s="8"/>
      <c r="L81" s="8" t="n">
        <v>11</v>
      </c>
      <c r="M81" s="8"/>
      <c r="N81" s="8"/>
      <c r="O81" s="8"/>
      <c r="P81" s="8"/>
      <c r="Q81" s="8"/>
      <c r="R81" s="8"/>
      <c r="S81" s="8"/>
      <c r="T81" s="8"/>
      <c r="U81" s="8" t="n">
        <v>2200</v>
      </c>
      <c r="V81" s="8"/>
      <c r="W81" s="8" t="s">
        <v>599</v>
      </c>
      <c r="X81" s="8" t="s">
        <v>370</v>
      </c>
      <c r="Y81" s="9" t="s">
        <v>96</v>
      </c>
    </row>
    <row r="82" customFormat="false" ht="15" hidden="false" customHeight="false" outlineLevel="0" collapsed="false">
      <c r="A82" s="8" t="s">
        <v>625</v>
      </c>
      <c r="B82" s="8" t="s">
        <v>627</v>
      </c>
      <c r="C82" s="8" t="s">
        <v>598</v>
      </c>
      <c r="D82" s="8" t="n">
        <v>82.1</v>
      </c>
      <c r="E82" s="8"/>
      <c r="F82" s="8" t="n">
        <v>64</v>
      </c>
      <c r="G82" s="8" t="n">
        <v>5250</v>
      </c>
      <c r="H82" s="14" t="n">
        <f aca="false">IF(AND(ISNUMBER(D82),ISNUMBER(F82)),F82/D82,"")</f>
        <v>0.779537149817296</v>
      </c>
      <c r="I82" s="8"/>
      <c r="J82" s="13" t="str">
        <f aca="false">IF(AND(ISNUMBER(D82),ISNUMBER(I82)),D82*I82,"")</f>
        <v/>
      </c>
      <c r="K82" s="8"/>
      <c r="L82" s="8" t="n">
        <v>28</v>
      </c>
      <c r="M82" s="8"/>
      <c r="N82" s="8"/>
      <c r="O82" s="8"/>
      <c r="P82" s="8"/>
      <c r="Q82" s="8"/>
      <c r="R82" s="8"/>
      <c r="S82" s="8"/>
      <c r="T82" s="8"/>
      <c r="U82" s="8" t="n">
        <v>2870</v>
      </c>
      <c r="V82" s="8"/>
      <c r="W82" s="8" t="s">
        <v>599</v>
      </c>
      <c r="X82" s="8" t="s">
        <v>370</v>
      </c>
      <c r="Y82" s="9" t="s">
        <v>96</v>
      </c>
    </row>
    <row r="83" customFormat="false" ht="15" hidden="false" customHeight="false" outlineLevel="0" collapsed="false">
      <c r="A83" s="8" t="s">
        <v>625</v>
      </c>
      <c r="B83" s="8" t="s">
        <v>628</v>
      </c>
      <c r="C83" s="8" t="s">
        <v>598</v>
      </c>
      <c r="D83" s="8" t="n">
        <v>81.4</v>
      </c>
      <c r="E83" s="8"/>
      <c r="F83" s="8" t="n">
        <v>75.5</v>
      </c>
      <c r="G83" s="8" t="n">
        <v>6150</v>
      </c>
      <c r="H83" s="14" t="n">
        <f aca="false">IF(AND(ISNUMBER(D83),ISNUMBER(F83)),F83/D83,"")</f>
        <v>0.927518427518428</v>
      </c>
      <c r="I83" s="8"/>
      <c r="J83" s="13" t="str">
        <f aca="false">IF(AND(ISNUMBER(D83),ISNUMBER(I83)),D83*I83,"")</f>
        <v/>
      </c>
      <c r="K83" s="8"/>
      <c r="L83" s="8" t="n">
        <v>33</v>
      </c>
      <c r="M83" s="8"/>
      <c r="N83" s="8"/>
      <c r="O83" s="8"/>
      <c r="P83" s="8"/>
      <c r="Q83" s="8"/>
      <c r="R83" s="8"/>
      <c r="S83" s="8"/>
      <c r="T83" s="8"/>
      <c r="U83" s="8" t="n">
        <v>2520</v>
      </c>
      <c r="V83" s="8"/>
      <c r="W83" s="8" t="s">
        <v>599</v>
      </c>
      <c r="X83" s="8" t="s">
        <v>370</v>
      </c>
      <c r="Y83" s="9" t="s">
        <v>96</v>
      </c>
    </row>
    <row r="84" customFormat="false" ht="15" hidden="false" customHeight="false" outlineLevel="0" collapsed="false">
      <c r="A84" s="8" t="s">
        <v>625</v>
      </c>
      <c r="B84" s="8" t="s">
        <v>629</v>
      </c>
      <c r="C84" s="8" t="s">
        <v>598</v>
      </c>
      <c r="D84" s="8" t="n">
        <v>107</v>
      </c>
      <c r="E84" s="8"/>
      <c r="F84" s="8" t="n">
        <v>90.8</v>
      </c>
      <c r="G84" s="8" t="n">
        <v>9720</v>
      </c>
      <c r="H84" s="14" t="n">
        <f aca="false">IF(AND(ISNUMBER(D84),ISNUMBER(F84)),F84/D84,"")</f>
        <v>0.848598130841122</v>
      </c>
      <c r="I84" s="8"/>
      <c r="J84" s="13" t="str">
        <f aca="false">IF(AND(ISNUMBER(D84),ISNUMBER(I84)),D84*I84,"")</f>
        <v/>
      </c>
      <c r="K84" s="8"/>
      <c r="L84" s="8" t="n">
        <v>52</v>
      </c>
      <c r="M84" s="8"/>
      <c r="N84" s="8"/>
      <c r="O84" s="8"/>
      <c r="P84" s="8"/>
      <c r="Q84" s="8"/>
      <c r="R84" s="8"/>
      <c r="S84" s="8"/>
      <c r="T84" s="8"/>
      <c r="U84" s="8" t="n">
        <v>2770</v>
      </c>
      <c r="V84" s="8"/>
      <c r="W84" s="8" t="s">
        <v>599</v>
      </c>
      <c r="X84" s="8" t="s">
        <v>370</v>
      </c>
      <c r="Y84" s="9" t="s">
        <v>96</v>
      </c>
    </row>
    <row r="85" customFormat="false" ht="15" hidden="false" customHeight="false" outlineLevel="0" collapsed="false">
      <c r="A85" s="8" t="s">
        <v>625</v>
      </c>
      <c r="B85" s="8" t="s">
        <v>630</v>
      </c>
      <c r="C85" s="8" t="s">
        <v>598</v>
      </c>
      <c r="D85" s="8" t="n">
        <v>149</v>
      </c>
      <c r="E85" s="8"/>
      <c r="F85" s="8" t="n">
        <v>98</v>
      </c>
      <c r="G85" s="8" t="n">
        <v>14600</v>
      </c>
      <c r="H85" s="14" t="n">
        <f aca="false">IF(AND(ISNUMBER(D85),ISNUMBER(F85)),F85/D85,"")</f>
        <v>0.657718120805369</v>
      </c>
      <c r="I85" s="8"/>
      <c r="J85" s="13" t="str">
        <f aca="false">IF(AND(ISNUMBER(D85),ISNUMBER(I85)),D85*I85,"")</f>
        <v/>
      </c>
      <c r="K85" s="8"/>
      <c r="L85" s="8" t="n">
        <v>78</v>
      </c>
      <c r="M85" s="8"/>
      <c r="N85" s="8"/>
      <c r="O85" s="8"/>
      <c r="P85" s="8"/>
      <c r="Q85" s="8"/>
      <c r="R85" s="8"/>
      <c r="S85" s="8"/>
      <c r="T85" s="8"/>
      <c r="U85" s="8" t="n">
        <v>3620</v>
      </c>
      <c r="V85" s="8"/>
      <c r="W85" s="8" t="s">
        <v>599</v>
      </c>
      <c r="X85" s="8" t="s">
        <v>370</v>
      </c>
      <c r="Y85" s="9" t="s">
        <v>96</v>
      </c>
    </row>
    <row r="86" customFormat="false" ht="15" hidden="false" customHeight="false" outlineLevel="0" collapsed="false">
      <c r="A86" s="8" t="s">
        <v>625</v>
      </c>
      <c r="B86" s="8" t="s">
        <v>631</v>
      </c>
      <c r="C86" s="8" t="s">
        <v>598</v>
      </c>
      <c r="D86" s="8" t="n">
        <v>194</v>
      </c>
      <c r="E86" s="8"/>
      <c r="F86" s="8" t="n">
        <v>98.8</v>
      </c>
      <c r="G86" s="8" t="n">
        <v>19200</v>
      </c>
      <c r="H86" s="14" t="n">
        <f aca="false">IF(AND(ISNUMBER(D86),ISNUMBER(F86)),F86/D86,"")</f>
        <v>0.509278350515464</v>
      </c>
      <c r="I86" s="8"/>
      <c r="J86" s="13" t="str">
        <f aca="false">IF(AND(ISNUMBER(D86),ISNUMBER(I86)),D86*I86,"")</f>
        <v/>
      </c>
      <c r="K86" s="8"/>
      <c r="L86" s="8" t="n">
        <v>102</v>
      </c>
      <c r="M86" s="8"/>
      <c r="N86" s="8"/>
      <c r="O86" s="8"/>
      <c r="P86" s="8"/>
      <c r="Q86" s="8"/>
      <c r="R86" s="8"/>
      <c r="S86" s="8"/>
      <c r="T86" s="8"/>
      <c r="U86" s="8" t="n">
        <v>4690</v>
      </c>
      <c r="V86" s="8"/>
      <c r="W86" s="8" t="s">
        <v>599</v>
      </c>
      <c r="X86" s="8" t="s">
        <v>370</v>
      </c>
      <c r="Y86" s="9" t="s">
        <v>96</v>
      </c>
    </row>
    <row r="87" customFormat="false" ht="15" hidden="false" customHeight="false" outlineLevel="0" collapsed="false">
      <c r="A87" s="8" t="s">
        <v>625</v>
      </c>
      <c r="B87" s="8" t="s">
        <v>632</v>
      </c>
      <c r="C87" s="8" t="s">
        <v>598</v>
      </c>
      <c r="D87" s="8" t="n">
        <v>231</v>
      </c>
      <c r="E87" s="8"/>
      <c r="F87" s="8" t="n">
        <v>91.3</v>
      </c>
      <c r="G87" s="8" t="n">
        <v>21100</v>
      </c>
      <c r="H87" s="14" t="n">
        <f aca="false">IF(AND(ISNUMBER(D87),ISNUMBER(F87)),F87/D87,"")</f>
        <v>0.395238095238095</v>
      </c>
      <c r="I87" s="8"/>
      <c r="J87" s="13" t="str">
        <f aca="false">IF(AND(ISNUMBER(D87),ISNUMBER(I87)),D87*I87,"")</f>
        <v/>
      </c>
      <c r="K87" s="8"/>
      <c r="L87" s="8" t="n">
        <v>110</v>
      </c>
      <c r="M87" s="8"/>
      <c r="N87" s="8"/>
      <c r="O87" s="8"/>
      <c r="P87" s="8"/>
      <c r="Q87" s="8"/>
      <c r="R87" s="8"/>
      <c r="S87" s="8"/>
      <c r="T87" s="8"/>
      <c r="U87" s="8" t="n">
        <v>6250</v>
      </c>
      <c r="V87" s="8"/>
      <c r="W87" s="8" t="s">
        <v>599</v>
      </c>
      <c r="X87" s="8" t="s">
        <v>370</v>
      </c>
      <c r="Y87" s="9" t="s">
        <v>96</v>
      </c>
    </row>
    <row r="89" customFormat="false" ht="15" hidden="false" customHeight="false" outlineLevel="0" collapsed="false">
      <c r="A89" s="2" t="s">
        <v>633</v>
      </c>
    </row>
    <row r="90" customFormat="false" ht="15" hidden="false" customHeight="false" outlineLevel="0" collapsed="false">
      <c r="A90" s="2" t="s">
        <v>634</v>
      </c>
    </row>
    <row r="91" customFormat="false" ht="15" hidden="false" customHeight="false" outlineLevel="0" collapsed="false">
      <c r="A91" s="2" t="s">
        <v>635</v>
      </c>
    </row>
    <row r="92" customFormat="false" ht="15" hidden="false" customHeight="false" outlineLevel="0" collapsed="false">
      <c r="A92" s="2" t="s">
        <v>636</v>
      </c>
    </row>
    <row r="93" customFormat="false" ht="15" hidden="false" customHeight="false" outlineLevel="0" collapsed="false">
      <c r="A93" s="2" t="s">
        <v>637</v>
      </c>
    </row>
    <row r="94" customFormat="false" ht="15" hidden="false" customHeight="false" outlineLevel="0" collapsed="false">
      <c r="A94" s="2" t="s">
        <v>638</v>
      </c>
    </row>
  </sheetData>
  <autoFilter ref="A4:Y87"/>
  <hyperlinks>
    <hyperlink ref="Y5" r:id="rId1" display="datasheet"/>
    <hyperlink ref="Y6" r:id="rId2" display="datasheet"/>
    <hyperlink ref="Y7" r:id="rId3" display="datasheet"/>
    <hyperlink ref="Y8" r:id="rId4" display="datasheet"/>
    <hyperlink ref="Y9" r:id="rId5" display="datasheet"/>
    <hyperlink ref="Y10" r:id="rId6" display="datasheet"/>
    <hyperlink ref="Y11" r:id="rId7" display="datasheet"/>
    <hyperlink ref="Y12" r:id="rId8" display="datasheet"/>
    <hyperlink ref="Y13" r:id="rId9" display="datasheet"/>
    <hyperlink ref="Y14" r:id="rId10" display="datasheet"/>
    <hyperlink ref="Y15" r:id="rId11" display="datasheet"/>
    <hyperlink ref="Y16" r:id="rId12" display="datasheet"/>
    <hyperlink ref="Y17" r:id="rId13" display="datasheet"/>
    <hyperlink ref="Y18" r:id="rId14" display="datasheet"/>
    <hyperlink ref="Y19" r:id="rId15" display="datasheet"/>
    <hyperlink ref="Y20" r:id="rId16" display="datasheet"/>
    <hyperlink ref="Y21" r:id="rId17" display="datasheet"/>
    <hyperlink ref="Y22" r:id="rId18" display="datasheet"/>
    <hyperlink ref="Y23" r:id="rId19" display="datasheet"/>
    <hyperlink ref="Y24" r:id="rId20" display="datasheet"/>
    <hyperlink ref="Y25" r:id="rId21" display="datasheet"/>
    <hyperlink ref="Y26" r:id="rId22" display="datasheet"/>
    <hyperlink ref="Y27" r:id="rId23" display="datasheet"/>
    <hyperlink ref="Y28" r:id="rId24" display="datasheet"/>
    <hyperlink ref="Y29" r:id="rId25" display="datasheet"/>
    <hyperlink ref="Y30" r:id="rId26" display="datasheet"/>
    <hyperlink ref="Y31" r:id="rId27" display="datasheet"/>
    <hyperlink ref="Y32" r:id="rId28" display="datasheet"/>
    <hyperlink ref="Y33" r:id="rId29" display="datasheet"/>
    <hyperlink ref="Y34" r:id="rId30" display="datasheet"/>
    <hyperlink ref="Y35" r:id="rId31" display="datasheet"/>
    <hyperlink ref="Y36" r:id="rId32" display="datasheet"/>
    <hyperlink ref="Y37" r:id="rId33" display="datasheet"/>
    <hyperlink ref="Y38" r:id="rId34" display="datasheet"/>
    <hyperlink ref="Y39" r:id="rId35" display="datasheet"/>
    <hyperlink ref="Y40" r:id="rId36" display="datasheet"/>
    <hyperlink ref="Y41" r:id="rId37" display="datasheet"/>
    <hyperlink ref="Y42" r:id="rId38" display="datasheet"/>
    <hyperlink ref="Y43" r:id="rId39" display="datasheet"/>
    <hyperlink ref="Y44" r:id="rId40" display="datasheet"/>
    <hyperlink ref="Y45" r:id="rId41" display="datasheet"/>
    <hyperlink ref="Y46" r:id="rId42" display="datasheet"/>
    <hyperlink ref="Y47" r:id="rId43" display="datasheet"/>
    <hyperlink ref="Y48" r:id="rId44" display="datasheet"/>
    <hyperlink ref="Y49" r:id="rId45" display="datasheet"/>
    <hyperlink ref="Y50" r:id="rId46" display="datasheet"/>
    <hyperlink ref="Y51" r:id="rId47" display="datasheet"/>
    <hyperlink ref="Y52" r:id="rId48" display="datasheet"/>
    <hyperlink ref="Y53" r:id="rId49" display="datasheet"/>
    <hyperlink ref="Y54" r:id="rId50" display="datasheet"/>
    <hyperlink ref="Y55" r:id="rId51" display="datasheet"/>
    <hyperlink ref="Y56" r:id="rId52" display="datasheet"/>
    <hyperlink ref="Y57" r:id="rId53" display="datasheet"/>
    <hyperlink ref="Y58" r:id="rId54" display="datasheet"/>
    <hyperlink ref="Y59" r:id="rId55" display="datasheet"/>
    <hyperlink ref="Y60" r:id="rId56" display="datasheet"/>
    <hyperlink ref="Y61" r:id="rId57" display="datasheet"/>
    <hyperlink ref="Y62" r:id="rId58" display="datasheet"/>
    <hyperlink ref="Y63" r:id="rId59" display="datasheet"/>
    <hyperlink ref="Y64" r:id="rId60" display="datasheet"/>
    <hyperlink ref="Y65" r:id="rId61" display="datasheet"/>
    <hyperlink ref="Y66" r:id="rId62" display="datasheet"/>
    <hyperlink ref="Y67" r:id="rId63" display="datasheet"/>
    <hyperlink ref="Y68" r:id="rId64" display="datasheet"/>
    <hyperlink ref="Y69" r:id="rId65" display="datasheet"/>
    <hyperlink ref="Y70" r:id="rId66" display="datasheet"/>
    <hyperlink ref="Y71" r:id="rId67" display="datasheet"/>
    <hyperlink ref="Y72" r:id="rId68" display="datasheet"/>
    <hyperlink ref="Y73" r:id="rId69" display="datasheet"/>
    <hyperlink ref="Y74" r:id="rId70" display="datasheet"/>
    <hyperlink ref="Y75" r:id="rId71" display="datasheet"/>
    <hyperlink ref="Y76" r:id="rId72" display="datasheet"/>
    <hyperlink ref="Y77" r:id="rId73" display="datasheet"/>
    <hyperlink ref="Y78" r:id="rId74" display="datasheet"/>
    <hyperlink ref="Y79" r:id="rId75" display="datasheet"/>
    <hyperlink ref="Y80" r:id="rId76" display="datasheet"/>
    <hyperlink ref="Y81" r:id="rId77" display="datasheet"/>
    <hyperlink ref="Y82" r:id="rId78" display="datasheet"/>
    <hyperlink ref="Y83" r:id="rId79" display="datasheet"/>
    <hyperlink ref="Y84" r:id="rId80" display="datasheet"/>
    <hyperlink ref="Y85" r:id="rId81" display="datasheet"/>
    <hyperlink ref="Y86" r:id="rId82" display="datasheet"/>
    <hyperlink ref="Y87" r:id="rId83" display="datashee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84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40"/>
    <col collapsed="false" customWidth="true" hidden="false" outlineLevel="0" max="4" min="4" style="0" width="20"/>
    <col collapsed="false" customWidth="true" hidden="false" outlineLevel="0" max="6" min="5" style="0" width="13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62"/>
    <col collapsed="false" customWidth="true" hidden="false" outlineLevel="0" max="10" min="10" style="0" width="11"/>
  </cols>
  <sheetData>
    <row r="1" customFormat="false" ht="19.5" hidden="false" customHeight="true" outlineLevel="0" collapsed="false">
      <c r="A1" s="6" t="s">
        <v>639</v>
      </c>
    </row>
    <row r="2" customFormat="false" ht="15" hidden="false" customHeight="false" outlineLevel="0" collapsed="false">
      <c r="A2" s="2" t="s">
        <v>640</v>
      </c>
    </row>
    <row r="4" customFormat="false" ht="33.75" hidden="false" customHeight="true" outlineLevel="0" collapsed="false">
      <c r="A4" s="7" t="s">
        <v>430</v>
      </c>
      <c r="B4" s="7" t="s">
        <v>641</v>
      </c>
      <c r="C4" s="7" t="s">
        <v>642</v>
      </c>
      <c r="D4" s="7" t="s">
        <v>453</v>
      </c>
      <c r="E4" s="7" t="s">
        <v>643</v>
      </c>
      <c r="F4" s="7" t="s">
        <v>644</v>
      </c>
      <c r="G4" s="7" t="s">
        <v>645</v>
      </c>
      <c r="H4" s="7" t="s">
        <v>646</v>
      </c>
      <c r="I4" s="7" t="s">
        <v>647</v>
      </c>
      <c r="J4" s="7" t="s">
        <v>87</v>
      </c>
    </row>
    <row r="5" customFormat="false" ht="25.5" hidden="false" customHeight="true" outlineLevel="0" collapsed="false">
      <c r="A5" s="8" t="s">
        <v>454</v>
      </c>
      <c r="B5" s="8" t="s">
        <v>455</v>
      </c>
      <c r="C5" s="8" t="s">
        <v>457</v>
      </c>
      <c r="D5" s="8" t="s">
        <v>458</v>
      </c>
      <c r="E5" s="8" t="n">
        <v>97</v>
      </c>
      <c r="F5" s="8" t="n">
        <v>52.8</v>
      </c>
      <c r="G5" s="8"/>
      <c r="H5" s="15" t="n">
        <f aca="false">IF(ISNUMBER(F5),F5*100/1000,"")</f>
        <v>5.28</v>
      </c>
      <c r="I5" s="10" t="s">
        <v>648</v>
      </c>
      <c r="J5" s="9" t="s">
        <v>96</v>
      </c>
    </row>
    <row r="6" customFormat="false" ht="25.5" hidden="false" customHeight="true" outlineLevel="0" collapsed="false">
      <c r="A6" s="8" t="s">
        <v>454</v>
      </c>
      <c r="B6" s="8" t="s">
        <v>459</v>
      </c>
      <c r="C6" s="8" t="s">
        <v>460</v>
      </c>
      <c r="D6" s="8" t="s">
        <v>461</v>
      </c>
      <c r="E6" s="8" t="n">
        <v>122</v>
      </c>
      <c r="F6" s="8" t="n">
        <v>60.5</v>
      </c>
      <c r="G6" s="8"/>
      <c r="H6" s="15" t="n">
        <f aca="false">IF(ISNUMBER(F6),F6*100/1000,"")</f>
        <v>6.05</v>
      </c>
      <c r="I6" s="10" t="s">
        <v>648</v>
      </c>
      <c r="J6" s="9" t="s">
        <v>96</v>
      </c>
    </row>
    <row r="7" customFormat="false" ht="25.5" hidden="false" customHeight="true" outlineLevel="0" collapsed="false">
      <c r="A7" s="8" t="s">
        <v>454</v>
      </c>
      <c r="B7" s="8" t="s">
        <v>462</v>
      </c>
      <c r="C7" s="8" t="s">
        <v>463</v>
      </c>
      <c r="D7" s="8" t="s">
        <v>464</v>
      </c>
      <c r="E7" s="8" t="n">
        <v>178</v>
      </c>
      <c r="F7" s="8" t="n">
        <v>69</v>
      </c>
      <c r="G7" s="8"/>
      <c r="H7" s="15" t="n">
        <f aca="false">IF(ISNUMBER(F7),F7*100/1000,"")</f>
        <v>6.9</v>
      </c>
      <c r="I7" s="10" t="s">
        <v>648</v>
      </c>
      <c r="J7" s="9" t="s">
        <v>96</v>
      </c>
    </row>
    <row r="8" customFormat="false" ht="25.5" hidden="false" customHeight="true" outlineLevel="0" collapsed="false">
      <c r="A8" s="8" t="s">
        <v>454</v>
      </c>
      <c r="B8" s="8" t="s">
        <v>465</v>
      </c>
      <c r="C8" s="8" t="s">
        <v>466</v>
      </c>
      <c r="D8" s="8" t="s">
        <v>467</v>
      </c>
      <c r="E8" s="8" t="n">
        <v>210</v>
      </c>
      <c r="F8" s="8" t="n">
        <v>77.7</v>
      </c>
      <c r="G8" s="8"/>
      <c r="H8" s="15" t="n">
        <f aca="false">IF(ISNUMBER(F8),F8*100/1000,"")</f>
        <v>7.77</v>
      </c>
      <c r="I8" s="10" t="s">
        <v>648</v>
      </c>
      <c r="J8" s="9" t="s">
        <v>96</v>
      </c>
    </row>
    <row r="9" customFormat="false" ht="25.5" hidden="false" customHeight="true" outlineLevel="0" collapsed="false">
      <c r="A9" s="8" t="s">
        <v>454</v>
      </c>
      <c r="B9" s="8" t="s">
        <v>468</v>
      </c>
      <c r="C9" s="8" t="s">
        <v>469</v>
      </c>
      <c r="D9" s="8" t="s">
        <v>470</v>
      </c>
      <c r="E9" s="8" t="n">
        <v>269.4</v>
      </c>
      <c r="F9" s="8" t="n">
        <v>86</v>
      </c>
      <c r="G9" s="8"/>
      <c r="H9" s="15" t="n">
        <f aca="false">IF(ISNUMBER(F9),F9*100/1000,"")</f>
        <v>8.6</v>
      </c>
      <c r="I9" s="10" t="s">
        <v>648</v>
      </c>
      <c r="J9" s="9" t="s">
        <v>96</v>
      </c>
    </row>
    <row r="10" customFormat="false" ht="25.5" hidden="false" customHeight="true" outlineLevel="0" collapsed="false">
      <c r="A10" s="8" t="s">
        <v>454</v>
      </c>
      <c r="B10" s="8" t="s">
        <v>471</v>
      </c>
      <c r="C10" s="8" t="s">
        <v>472</v>
      </c>
      <c r="D10" s="8" t="s">
        <v>473</v>
      </c>
      <c r="E10" s="8" t="n">
        <v>315.6</v>
      </c>
      <c r="F10" s="8" t="n">
        <v>96</v>
      </c>
      <c r="G10" s="8"/>
      <c r="H10" s="15" t="n">
        <f aca="false">IF(ISNUMBER(F10),F10*100/1000,"")</f>
        <v>9.6</v>
      </c>
      <c r="I10" s="10" t="s">
        <v>648</v>
      </c>
      <c r="J10" s="9" t="s">
        <v>96</v>
      </c>
    </row>
    <row r="11" customFormat="false" ht="25.5" hidden="false" customHeight="true" outlineLevel="0" collapsed="false">
      <c r="A11" s="8" t="s">
        <v>454</v>
      </c>
      <c r="B11" s="8" t="s">
        <v>474</v>
      </c>
      <c r="C11" s="8" t="s">
        <v>475</v>
      </c>
      <c r="D11" s="8" t="s">
        <v>476</v>
      </c>
      <c r="E11" s="8" t="n">
        <v>365.6</v>
      </c>
      <c r="F11" s="8" t="n">
        <v>106.1</v>
      </c>
      <c r="G11" s="8" t="n">
        <v>10</v>
      </c>
      <c r="H11" s="15" t="n">
        <f aca="false">IF(ISNUMBER(F11),F11*100/1000,"")</f>
        <v>10.61</v>
      </c>
      <c r="I11" s="10" t="s">
        <v>648</v>
      </c>
      <c r="J11" s="9" t="s">
        <v>96</v>
      </c>
    </row>
    <row r="12" customFormat="false" ht="25.5" hidden="false" customHeight="true" outlineLevel="0" collapsed="false">
      <c r="A12" s="8" t="s">
        <v>477</v>
      </c>
      <c r="B12" s="8" t="s">
        <v>478</v>
      </c>
      <c r="C12" s="8" t="s">
        <v>481</v>
      </c>
      <c r="D12" s="8" t="s">
        <v>482</v>
      </c>
      <c r="E12" s="8" t="n">
        <v>11.6</v>
      </c>
      <c r="F12" s="8" t="n">
        <v>27.2</v>
      </c>
      <c r="G12" s="8" t="n">
        <v>80.6</v>
      </c>
      <c r="H12" s="15" t="n">
        <f aca="false">IF(ISNUMBER(F12),F12*100/1000,"")</f>
        <v>2.72</v>
      </c>
      <c r="I12" s="10" t="s">
        <v>649</v>
      </c>
      <c r="J12" s="9" t="s">
        <v>96</v>
      </c>
    </row>
    <row r="13" customFormat="false" ht="25.5" hidden="false" customHeight="true" outlineLevel="0" collapsed="false">
      <c r="A13" s="8" t="s">
        <v>477</v>
      </c>
      <c r="B13" s="8" t="s">
        <v>483</v>
      </c>
      <c r="C13" s="8" t="s">
        <v>485</v>
      </c>
      <c r="D13" s="8" t="s">
        <v>486</v>
      </c>
      <c r="E13" s="8" t="n">
        <v>22.3</v>
      </c>
      <c r="F13" s="8" t="n">
        <v>34</v>
      </c>
      <c r="G13" s="8" t="n">
        <v>52.4</v>
      </c>
      <c r="H13" s="15" t="n">
        <f aca="false">IF(ISNUMBER(F13),F13*100/1000,"")</f>
        <v>3.4</v>
      </c>
      <c r="I13" s="10" t="s">
        <v>649</v>
      </c>
      <c r="J13" s="9" t="s">
        <v>96</v>
      </c>
    </row>
    <row r="14" customFormat="false" ht="25.5" hidden="false" customHeight="true" outlineLevel="0" collapsed="false">
      <c r="A14" s="8" t="s">
        <v>477</v>
      </c>
      <c r="B14" s="8" t="s">
        <v>487</v>
      </c>
      <c r="C14" s="8" t="s">
        <v>489</v>
      </c>
      <c r="D14" s="8" t="s">
        <v>490</v>
      </c>
      <c r="E14" s="8" t="n">
        <v>34</v>
      </c>
      <c r="F14" s="8" t="n">
        <v>41.2</v>
      </c>
      <c r="G14" s="8" t="n">
        <v>42</v>
      </c>
      <c r="H14" s="15" t="n">
        <f aca="false">IF(ISNUMBER(F14),F14*100/1000,"")</f>
        <v>4.12</v>
      </c>
      <c r="I14" s="10" t="s">
        <v>649</v>
      </c>
      <c r="J14" s="9" t="s">
        <v>96</v>
      </c>
    </row>
    <row r="15" customFormat="false" ht="25.5" hidden="false" customHeight="true" outlineLevel="0" collapsed="false">
      <c r="A15" s="8" t="s">
        <v>477</v>
      </c>
      <c r="B15" s="8" t="s">
        <v>491</v>
      </c>
      <c r="C15" s="8" t="s">
        <v>493</v>
      </c>
      <c r="D15" s="8" t="s">
        <v>494</v>
      </c>
      <c r="E15" s="8" t="n">
        <v>61</v>
      </c>
      <c r="F15" s="8" t="n">
        <v>50</v>
      </c>
      <c r="G15" s="8" t="n">
        <v>28</v>
      </c>
      <c r="H15" s="15" t="n">
        <f aca="false">IF(ISNUMBER(F15),F15*100/1000,"")</f>
        <v>5</v>
      </c>
      <c r="I15" s="10" t="s">
        <v>649</v>
      </c>
      <c r="J15" s="9" t="s">
        <v>96</v>
      </c>
    </row>
    <row r="16" customFormat="false" ht="25.5" hidden="false" customHeight="true" outlineLevel="0" collapsed="false">
      <c r="A16" s="8" t="s">
        <v>477</v>
      </c>
      <c r="B16" s="8" t="s">
        <v>495</v>
      </c>
      <c r="C16" s="8" t="s">
        <v>497</v>
      </c>
      <c r="D16" s="8" t="s">
        <v>498</v>
      </c>
      <c r="E16" s="8" t="n">
        <v>90</v>
      </c>
      <c r="F16" s="8" t="n">
        <v>56</v>
      </c>
      <c r="G16" s="8" t="n">
        <v>21</v>
      </c>
      <c r="H16" s="15" t="n">
        <f aca="false">IF(ISNUMBER(F16),F16*100/1000,"")</f>
        <v>5.6</v>
      </c>
      <c r="I16" s="10" t="s">
        <v>649</v>
      </c>
      <c r="J16" s="9" t="s">
        <v>96</v>
      </c>
    </row>
    <row r="17" customFormat="false" ht="25.5" hidden="false" customHeight="true" outlineLevel="0" collapsed="false">
      <c r="A17" s="8" t="s">
        <v>477</v>
      </c>
      <c r="B17" s="8" t="s">
        <v>499</v>
      </c>
      <c r="C17" s="8" t="s">
        <v>501</v>
      </c>
      <c r="D17" s="8" t="s">
        <v>461</v>
      </c>
      <c r="E17" s="8" t="n">
        <v>108.5</v>
      </c>
      <c r="F17" s="8" t="n">
        <v>64.4</v>
      </c>
      <c r="G17" s="8" t="n">
        <v>20.42</v>
      </c>
      <c r="H17" s="15" t="n">
        <f aca="false">IF(ISNUMBER(F17),F17*100/1000,"")</f>
        <v>6.44</v>
      </c>
      <c r="I17" s="10" t="s">
        <v>649</v>
      </c>
      <c r="J17" s="9" t="s">
        <v>96</v>
      </c>
    </row>
    <row r="18" customFormat="false" ht="25.5" hidden="false" customHeight="true" outlineLevel="0" collapsed="false">
      <c r="A18" s="8" t="s">
        <v>477</v>
      </c>
      <c r="B18" s="8" t="s">
        <v>502</v>
      </c>
      <c r="C18" s="8" t="s">
        <v>503</v>
      </c>
      <c r="D18" s="8" t="s">
        <v>464</v>
      </c>
      <c r="E18" s="8" t="n">
        <v>122.55</v>
      </c>
      <c r="F18" s="8" t="n">
        <v>76.4</v>
      </c>
      <c r="G18" s="8" t="n">
        <v>21.45</v>
      </c>
      <c r="H18" s="15" t="n">
        <f aca="false">IF(ISNUMBER(F18),F18*100/1000,"")</f>
        <v>7.64</v>
      </c>
      <c r="I18" s="10" t="s">
        <v>649</v>
      </c>
      <c r="J18" s="9" t="s">
        <v>96</v>
      </c>
    </row>
    <row r="19" customFormat="false" ht="25.5" hidden="false" customHeight="true" outlineLevel="0" collapsed="false">
      <c r="A19" s="8" t="s">
        <v>477</v>
      </c>
      <c r="B19" s="8" t="s">
        <v>504</v>
      </c>
      <c r="C19" s="8" t="s">
        <v>505</v>
      </c>
      <c r="D19" s="8" t="s">
        <v>506</v>
      </c>
      <c r="E19" s="8" t="n">
        <v>172</v>
      </c>
      <c r="F19" s="8" t="n">
        <v>100</v>
      </c>
      <c r="G19" s="8" t="n">
        <v>20</v>
      </c>
      <c r="H19" s="15" t="n">
        <f aca="false">IF(ISNUMBER(F19),F19*100/1000,"")</f>
        <v>10</v>
      </c>
      <c r="I19" s="10" t="s">
        <v>649</v>
      </c>
      <c r="J19" s="9" t="s">
        <v>96</v>
      </c>
    </row>
    <row r="20" customFormat="false" ht="25.5" hidden="false" customHeight="true" outlineLevel="0" collapsed="false">
      <c r="A20" s="8" t="s">
        <v>477</v>
      </c>
      <c r="B20" s="8" t="s">
        <v>507</v>
      </c>
      <c r="C20" s="8" t="s">
        <v>508</v>
      </c>
      <c r="D20" s="8" t="s">
        <v>461</v>
      </c>
      <c r="E20" s="8" t="n">
        <v>280</v>
      </c>
      <c r="F20" s="8" t="n">
        <v>113</v>
      </c>
      <c r="G20" s="8" t="n">
        <v>14</v>
      </c>
      <c r="H20" s="15" t="n">
        <f aca="false">IF(ISNUMBER(F20),F20*100/1000,"")</f>
        <v>11.3</v>
      </c>
      <c r="I20" s="10" t="s">
        <v>649</v>
      </c>
      <c r="J20" s="9" t="s">
        <v>96</v>
      </c>
    </row>
    <row r="21" customFormat="false" ht="25.5" hidden="false" customHeight="true" outlineLevel="0" collapsed="false">
      <c r="A21" s="8" t="s">
        <v>477</v>
      </c>
      <c r="B21" s="8" t="s">
        <v>509</v>
      </c>
      <c r="C21" s="8" t="s">
        <v>510</v>
      </c>
      <c r="D21" s="8" t="s">
        <v>370</v>
      </c>
      <c r="E21" s="8" t="n">
        <v>426</v>
      </c>
      <c r="F21" s="8" t="n">
        <v>188</v>
      </c>
      <c r="G21" s="8" t="n">
        <v>15.2</v>
      </c>
      <c r="H21" s="15" t="n">
        <f aca="false">IF(ISNUMBER(F21),F21*100/1000,"")</f>
        <v>18.8</v>
      </c>
      <c r="I21" s="10" t="s">
        <v>649</v>
      </c>
      <c r="J21" s="9" t="s">
        <v>96</v>
      </c>
    </row>
    <row r="22" customFormat="false" ht="25.5" hidden="false" customHeight="true" outlineLevel="0" collapsed="false">
      <c r="A22" s="8" t="s">
        <v>511</v>
      </c>
      <c r="B22" s="8" t="s">
        <v>512</v>
      </c>
      <c r="C22" s="8" t="s">
        <v>514</v>
      </c>
      <c r="D22" s="8" t="s">
        <v>486</v>
      </c>
      <c r="E22" s="8" t="n">
        <v>28.1</v>
      </c>
      <c r="F22" s="8" t="n">
        <v>40.2</v>
      </c>
      <c r="G22" s="8" t="n">
        <v>49.2</v>
      </c>
      <c r="H22" s="15" t="n">
        <f aca="false">IF(ISNUMBER(F22),F22*100/1000,"")</f>
        <v>4.02</v>
      </c>
      <c r="I22" s="10" t="s">
        <v>650</v>
      </c>
      <c r="J22" s="9" t="s">
        <v>96</v>
      </c>
    </row>
    <row r="23" customFormat="false" ht="25.5" hidden="false" customHeight="true" outlineLevel="0" collapsed="false">
      <c r="A23" s="8" t="s">
        <v>511</v>
      </c>
      <c r="B23" s="8" t="s">
        <v>515</v>
      </c>
      <c r="C23" s="8" t="s">
        <v>516</v>
      </c>
      <c r="D23" s="8" t="s">
        <v>494</v>
      </c>
      <c r="E23" s="8" t="n">
        <v>40.7</v>
      </c>
      <c r="F23" s="8" t="n">
        <v>50</v>
      </c>
      <c r="G23" s="8" t="n">
        <v>42.3</v>
      </c>
      <c r="H23" s="15" t="n">
        <f aca="false">IF(ISNUMBER(F23),F23*100/1000,"")</f>
        <v>5</v>
      </c>
      <c r="I23" s="10" t="s">
        <v>650</v>
      </c>
      <c r="J23" s="9" t="s">
        <v>96</v>
      </c>
    </row>
    <row r="24" customFormat="false" ht="25.5" hidden="false" customHeight="true" outlineLevel="0" collapsed="false">
      <c r="A24" s="8" t="s">
        <v>511</v>
      </c>
      <c r="B24" s="8" t="s">
        <v>517</v>
      </c>
      <c r="C24" s="8" t="s">
        <v>518</v>
      </c>
      <c r="D24" s="8" t="s">
        <v>519</v>
      </c>
      <c r="E24" s="8" t="n">
        <v>52.3</v>
      </c>
      <c r="F24" s="8" t="n">
        <v>56.7</v>
      </c>
      <c r="G24" s="8" t="n">
        <v>37.3</v>
      </c>
      <c r="H24" s="15" t="n">
        <f aca="false">IF(ISNUMBER(F24),F24*100/1000,"")</f>
        <v>5.67</v>
      </c>
      <c r="I24" s="10" t="s">
        <v>650</v>
      </c>
      <c r="J24" s="9" t="s">
        <v>96</v>
      </c>
    </row>
    <row r="25" customFormat="false" ht="25.5" hidden="false" customHeight="true" outlineLevel="0" collapsed="false">
      <c r="A25" s="8" t="s">
        <v>520</v>
      </c>
      <c r="B25" s="8" t="s">
        <v>521</v>
      </c>
      <c r="C25" s="8" t="s">
        <v>523</v>
      </c>
      <c r="D25" s="8" t="s">
        <v>461</v>
      </c>
      <c r="E25" s="8" t="n">
        <v>21</v>
      </c>
      <c r="F25" s="8" t="n">
        <v>44</v>
      </c>
      <c r="G25" s="8"/>
      <c r="H25" s="15" t="n">
        <f aca="false">IF(ISNUMBER(F25),F25*100/1000,"")</f>
        <v>4.4</v>
      </c>
      <c r="I25" s="10" t="s">
        <v>651</v>
      </c>
      <c r="J25" s="9" t="s">
        <v>96</v>
      </c>
    </row>
    <row r="26" customFormat="false" ht="25.5" hidden="false" customHeight="true" outlineLevel="0" collapsed="false">
      <c r="A26" s="8" t="s">
        <v>520</v>
      </c>
      <c r="B26" s="8" t="s">
        <v>524</v>
      </c>
      <c r="C26" s="8" t="s">
        <v>523</v>
      </c>
      <c r="D26" s="8" t="s">
        <v>461</v>
      </c>
      <c r="E26" s="8" t="n">
        <v>35</v>
      </c>
      <c r="F26" s="8" t="n">
        <v>44</v>
      </c>
      <c r="G26" s="8" t="n">
        <v>43</v>
      </c>
      <c r="H26" s="15" t="n">
        <f aca="false">IF(ISNUMBER(F26),F26*100/1000,"")</f>
        <v>4.4</v>
      </c>
      <c r="I26" s="10" t="s">
        <v>651</v>
      </c>
      <c r="J26" s="9" t="s">
        <v>96</v>
      </c>
    </row>
    <row r="27" customFormat="false" ht="25.5" hidden="false" customHeight="true" outlineLevel="0" collapsed="false">
      <c r="A27" s="8" t="s">
        <v>520</v>
      </c>
      <c r="B27" s="8" t="s">
        <v>525</v>
      </c>
      <c r="C27" s="8" t="s">
        <v>526</v>
      </c>
      <c r="D27" s="8" t="s">
        <v>519</v>
      </c>
      <c r="E27" s="8" t="n">
        <v>33</v>
      </c>
      <c r="F27" s="8" t="n">
        <v>56</v>
      </c>
      <c r="G27" s="8" t="n">
        <v>58</v>
      </c>
      <c r="H27" s="15" t="n">
        <f aca="false">IF(ISNUMBER(F27),F27*100/1000,"")</f>
        <v>5.6</v>
      </c>
      <c r="I27" s="10" t="s">
        <v>651</v>
      </c>
      <c r="J27" s="9" t="s">
        <v>96</v>
      </c>
    </row>
    <row r="28" customFormat="false" ht="25.5" hidden="false" customHeight="true" outlineLevel="0" collapsed="false">
      <c r="A28" s="8" t="s">
        <v>520</v>
      </c>
      <c r="B28" s="8" t="s">
        <v>527</v>
      </c>
      <c r="C28" s="8" t="s">
        <v>526</v>
      </c>
      <c r="D28" s="8" t="s">
        <v>519</v>
      </c>
      <c r="E28" s="8" t="n">
        <v>47</v>
      </c>
      <c r="F28" s="8" t="n">
        <v>56</v>
      </c>
      <c r="G28" s="8" t="n">
        <v>41</v>
      </c>
      <c r="H28" s="15" t="n">
        <f aca="false">IF(ISNUMBER(F28),F28*100/1000,"")</f>
        <v>5.6</v>
      </c>
      <c r="I28" s="10" t="s">
        <v>651</v>
      </c>
      <c r="J28" s="9" t="s">
        <v>96</v>
      </c>
    </row>
    <row r="29" customFormat="false" ht="25.5" hidden="false" customHeight="true" outlineLevel="0" collapsed="false">
      <c r="A29" s="8" t="s">
        <v>520</v>
      </c>
      <c r="B29" s="8" t="s">
        <v>528</v>
      </c>
      <c r="C29" s="8" t="s">
        <v>529</v>
      </c>
      <c r="D29" s="8" t="s">
        <v>519</v>
      </c>
      <c r="E29" s="8" t="n">
        <v>104</v>
      </c>
      <c r="F29" s="8" t="n">
        <v>62</v>
      </c>
      <c r="G29" s="8" t="n">
        <v>21</v>
      </c>
      <c r="H29" s="15" t="n">
        <f aca="false">IF(ISNUMBER(F29),F29*100/1000,"")</f>
        <v>6.2</v>
      </c>
      <c r="I29" s="10" t="s">
        <v>651</v>
      </c>
      <c r="J29" s="9" t="s">
        <v>96</v>
      </c>
    </row>
    <row r="30" customFormat="false" ht="25.5" hidden="false" customHeight="true" outlineLevel="0" collapsed="false">
      <c r="A30" s="8" t="s">
        <v>520</v>
      </c>
      <c r="B30" s="8" t="s">
        <v>530</v>
      </c>
      <c r="C30" s="8" t="s">
        <v>531</v>
      </c>
      <c r="D30" s="8" t="s">
        <v>519</v>
      </c>
      <c r="E30" s="8" t="n">
        <v>158</v>
      </c>
      <c r="F30" s="8" t="n">
        <v>76</v>
      </c>
      <c r="G30" s="8" t="n">
        <v>16.5</v>
      </c>
      <c r="H30" s="15" t="n">
        <f aca="false">IF(ISNUMBER(F30),F30*100/1000,"")</f>
        <v>7.6</v>
      </c>
      <c r="I30" s="10" t="s">
        <v>651</v>
      </c>
      <c r="J30" s="9" t="s">
        <v>96</v>
      </c>
    </row>
    <row r="31" customFormat="false" ht="25.5" hidden="false" customHeight="true" outlineLevel="0" collapsed="false">
      <c r="A31" s="8" t="s">
        <v>520</v>
      </c>
      <c r="B31" s="8" t="s">
        <v>532</v>
      </c>
      <c r="C31" s="8" t="s">
        <v>533</v>
      </c>
      <c r="D31" s="8" t="s">
        <v>519</v>
      </c>
      <c r="E31" s="8" t="n">
        <v>309</v>
      </c>
      <c r="F31" s="8" t="n">
        <v>87</v>
      </c>
      <c r="G31" s="8" t="n">
        <v>10</v>
      </c>
      <c r="H31" s="15" t="n">
        <f aca="false">IF(ISNUMBER(F31),F31*100/1000,"")</f>
        <v>8.7</v>
      </c>
      <c r="I31" s="10" t="s">
        <v>651</v>
      </c>
      <c r="J31" s="9" t="s">
        <v>96</v>
      </c>
    </row>
    <row r="32" customFormat="false" ht="25.5" hidden="false" customHeight="true" outlineLevel="0" collapsed="false">
      <c r="A32" s="8" t="s">
        <v>520</v>
      </c>
      <c r="B32" s="8" t="s">
        <v>534</v>
      </c>
      <c r="C32" s="8" t="s">
        <v>535</v>
      </c>
      <c r="D32" s="8" t="s">
        <v>519</v>
      </c>
      <c r="E32" s="8" t="n">
        <v>340</v>
      </c>
      <c r="F32" s="8" t="n">
        <v>100.5</v>
      </c>
      <c r="G32" s="8" t="n">
        <v>10.2</v>
      </c>
      <c r="H32" s="15" t="n">
        <f aca="false">IF(ISNUMBER(F32),F32*100/1000,"")</f>
        <v>10.05</v>
      </c>
      <c r="I32" s="10" t="s">
        <v>651</v>
      </c>
      <c r="J32" s="9" t="s">
        <v>96</v>
      </c>
    </row>
    <row r="33" customFormat="false" ht="25.5" hidden="false" customHeight="true" outlineLevel="0" collapsed="false">
      <c r="A33" s="8" t="s">
        <v>536</v>
      </c>
      <c r="B33" s="8" t="s">
        <v>537</v>
      </c>
      <c r="C33" s="8" t="s">
        <v>539</v>
      </c>
      <c r="D33" s="8" t="s">
        <v>540</v>
      </c>
      <c r="E33" s="8" t="n">
        <v>14.5</v>
      </c>
      <c r="F33" s="8" t="n">
        <v>30</v>
      </c>
      <c r="G33" s="8" t="n">
        <v>71</v>
      </c>
      <c r="H33" s="15" t="n">
        <f aca="false">IF(ISNUMBER(F33),F33*100/1000,"")</f>
        <v>3</v>
      </c>
      <c r="I33" s="10" t="s">
        <v>652</v>
      </c>
      <c r="J33" s="9" t="s">
        <v>96</v>
      </c>
    </row>
    <row r="34" customFormat="false" ht="25.5" hidden="false" customHeight="true" outlineLevel="0" collapsed="false">
      <c r="A34" s="8" t="s">
        <v>536</v>
      </c>
      <c r="B34" s="8" t="s">
        <v>541</v>
      </c>
      <c r="C34" s="8" t="s">
        <v>539</v>
      </c>
      <c r="D34" s="8" t="s">
        <v>540</v>
      </c>
      <c r="E34" s="8" t="n">
        <v>14.5</v>
      </c>
      <c r="F34" s="8" t="n">
        <v>30</v>
      </c>
      <c r="G34" s="8" t="n">
        <v>71</v>
      </c>
      <c r="H34" s="15" t="n">
        <f aca="false">IF(ISNUMBER(F34),F34*100/1000,"")</f>
        <v>3</v>
      </c>
      <c r="I34" s="10" t="s">
        <v>652</v>
      </c>
      <c r="J34" s="9" t="s">
        <v>96</v>
      </c>
    </row>
    <row r="35" customFormat="false" ht="25.5" hidden="false" customHeight="true" outlineLevel="0" collapsed="false">
      <c r="A35" s="8" t="s">
        <v>536</v>
      </c>
      <c r="B35" s="8" t="s">
        <v>542</v>
      </c>
      <c r="C35" s="8" t="s">
        <v>544</v>
      </c>
      <c r="D35" s="8" t="s">
        <v>545</v>
      </c>
      <c r="E35" s="8" t="n">
        <v>30</v>
      </c>
      <c r="F35" s="8" t="n">
        <v>42</v>
      </c>
      <c r="G35" s="8" t="n">
        <v>47</v>
      </c>
      <c r="H35" s="15" t="n">
        <f aca="false">IF(ISNUMBER(F35),F35*100/1000,"")</f>
        <v>4.2</v>
      </c>
      <c r="I35" s="10" t="s">
        <v>652</v>
      </c>
      <c r="J35" s="9" t="s">
        <v>96</v>
      </c>
    </row>
    <row r="36" customFormat="false" ht="25.5" hidden="false" customHeight="true" outlineLevel="0" collapsed="false">
      <c r="A36" s="8" t="s">
        <v>536</v>
      </c>
      <c r="B36" s="8" t="s">
        <v>546</v>
      </c>
      <c r="C36" s="8" t="s">
        <v>544</v>
      </c>
      <c r="D36" s="8" t="s">
        <v>545</v>
      </c>
      <c r="E36" s="8" t="n">
        <v>30</v>
      </c>
      <c r="F36" s="8" t="n">
        <v>42</v>
      </c>
      <c r="G36" s="8" t="n">
        <v>47</v>
      </c>
      <c r="H36" s="15" t="n">
        <f aca="false">IF(ISNUMBER(F36),F36*100/1000,"")</f>
        <v>4.2</v>
      </c>
      <c r="I36" s="10" t="s">
        <v>652</v>
      </c>
      <c r="J36" s="9" t="s">
        <v>96</v>
      </c>
    </row>
    <row r="37" customFormat="false" ht="25.5" hidden="false" customHeight="true" outlineLevel="0" collapsed="false">
      <c r="A37" s="8" t="s">
        <v>536</v>
      </c>
      <c r="B37" s="8" t="s">
        <v>547</v>
      </c>
      <c r="C37" s="8" t="s">
        <v>549</v>
      </c>
      <c r="D37" s="8" t="s">
        <v>550</v>
      </c>
      <c r="E37" s="8" t="n">
        <v>41.5</v>
      </c>
      <c r="F37" s="8" t="n">
        <v>52</v>
      </c>
      <c r="G37" s="8" t="n">
        <v>43</v>
      </c>
      <c r="H37" s="15" t="n">
        <f aca="false">IF(ISNUMBER(F37),F37*100/1000,"")</f>
        <v>5.2</v>
      </c>
      <c r="I37" s="10" t="s">
        <v>652</v>
      </c>
      <c r="J37" s="9" t="s">
        <v>96</v>
      </c>
    </row>
    <row r="38" customFormat="false" ht="25.5" hidden="false" customHeight="true" outlineLevel="0" collapsed="false">
      <c r="A38" s="8" t="s">
        <v>536</v>
      </c>
      <c r="B38" s="8" t="s">
        <v>551</v>
      </c>
      <c r="C38" s="8" t="s">
        <v>549</v>
      </c>
      <c r="D38" s="8" t="s">
        <v>550</v>
      </c>
      <c r="E38" s="8" t="n">
        <v>41.5</v>
      </c>
      <c r="F38" s="8" t="n">
        <v>52</v>
      </c>
      <c r="G38" s="8" t="n">
        <v>43</v>
      </c>
      <c r="H38" s="15" t="n">
        <f aca="false">IF(ISNUMBER(F38),F38*100/1000,"")</f>
        <v>5.2</v>
      </c>
      <c r="I38" s="10" t="s">
        <v>652</v>
      </c>
      <c r="J38" s="9" t="s">
        <v>96</v>
      </c>
    </row>
    <row r="39" customFormat="false" ht="25.5" hidden="false" customHeight="true" outlineLevel="0" collapsed="false">
      <c r="A39" s="8" t="s">
        <v>536</v>
      </c>
      <c r="B39" s="8" t="s">
        <v>552</v>
      </c>
      <c r="C39" s="8" t="s">
        <v>554</v>
      </c>
      <c r="D39" s="8" t="s">
        <v>555</v>
      </c>
      <c r="E39" s="8" t="n">
        <v>107</v>
      </c>
      <c r="F39" s="8" t="n">
        <v>71.5</v>
      </c>
      <c r="G39" s="8" t="n">
        <v>23</v>
      </c>
      <c r="H39" s="15" t="n">
        <f aca="false">IF(ISNUMBER(F39),F39*100/1000,"")</f>
        <v>7.15</v>
      </c>
      <c r="I39" s="10" t="s">
        <v>652</v>
      </c>
      <c r="J39" s="9" t="s">
        <v>96</v>
      </c>
    </row>
    <row r="40" customFormat="false" ht="25.5" hidden="false" customHeight="true" outlineLevel="0" collapsed="false">
      <c r="A40" s="8" t="s">
        <v>536</v>
      </c>
      <c r="B40" s="8" t="s">
        <v>556</v>
      </c>
      <c r="C40" s="8" t="s">
        <v>557</v>
      </c>
      <c r="D40" s="8" t="s">
        <v>555</v>
      </c>
      <c r="E40" s="8" t="n">
        <v>107</v>
      </c>
      <c r="F40" s="8" t="n">
        <v>71.5</v>
      </c>
      <c r="G40" s="8" t="n">
        <v>23</v>
      </c>
      <c r="H40" s="15" t="n">
        <f aca="false">IF(ISNUMBER(F40),F40*100/1000,"")</f>
        <v>7.15</v>
      </c>
      <c r="I40" s="10" t="s">
        <v>652</v>
      </c>
      <c r="J40" s="9" t="s">
        <v>96</v>
      </c>
    </row>
    <row r="41" customFormat="false" ht="25.5" hidden="false" customHeight="true" outlineLevel="0" collapsed="false">
      <c r="A41" s="8" t="s">
        <v>536</v>
      </c>
      <c r="B41" s="8" t="s">
        <v>558</v>
      </c>
      <c r="C41" s="8" t="s">
        <v>562</v>
      </c>
      <c r="D41" s="8" t="s">
        <v>494</v>
      </c>
      <c r="E41" s="8" t="n">
        <v>14.3</v>
      </c>
      <c r="F41" s="8" t="n">
        <v>23.8</v>
      </c>
      <c r="G41" s="8" t="n">
        <v>57.1</v>
      </c>
      <c r="H41" s="15" t="n">
        <f aca="false">IF(ISNUMBER(F41),F41*100/1000,"")</f>
        <v>2.38</v>
      </c>
      <c r="I41" s="10" t="s">
        <v>652</v>
      </c>
      <c r="J41" s="9" t="s">
        <v>96</v>
      </c>
    </row>
    <row r="42" customFormat="false" ht="25.5" hidden="false" customHeight="true" outlineLevel="0" collapsed="false">
      <c r="A42" s="8" t="s">
        <v>536</v>
      </c>
      <c r="B42" s="8" t="s">
        <v>563</v>
      </c>
      <c r="C42" s="8" t="s">
        <v>566</v>
      </c>
      <c r="D42" s="8" t="s">
        <v>567</v>
      </c>
      <c r="E42" s="8" t="n">
        <v>3.3</v>
      </c>
      <c r="F42" s="8" t="n">
        <v>21.6</v>
      </c>
      <c r="G42" s="8" t="n">
        <v>225</v>
      </c>
      <c r="H42" s="15" t="n">
        <f aca="false">IF(ISNUMBER(F42),F42*100/1000,"")</f>
        <v>2.16</v>
      </c>
      <c r="I42" s="10" t="s">
        <v>652</v>
      </c>
      <c r="J42" s="9" t="s">
        <v>96</v>
      </c>
    </row>
    <row r="44" customFormat="false" ht="15" hidden="false" customHeight="false" outlineLevel="0" collapsed="false">
      <c r="A44" s="2" t="s">
        <v>653</v>
      </c>
    </row>
    <row r="45" customFormat="false" ht="15" hidden="false" customHeight="false" outlineLevel="0" collapsed="false">
      <c r="A45" s="2" t="s">
        <v>654</v>
      </c>
    </row>
    <row r="46" customFormat="false" ht="15" hidden="false" customHeight="false" outlineLevel="0" collapsed="false">
      <c r="A46" s="2" t="s">
        <v>655</v>
      </c>
    </row>
  </sheetData>
  <autoFilter ref="A4:J42"/>
  <hyperlinks>
    <hyperlink ref="J5" r:id="rId1" display="datasheet"/>
    <hyperlink ref="J6" r:id="rId2" display="datasheet"/>
    <hyperlink ref="J7" r:id="rId3" display="datasheet"/>
    <hyperlink ref="J8" r:id="rId4" display="datasheet"/>
    <hyperlink ref="J9" r:id="rId5" display="datasheet"/>
    <hyperlink ref="J10" r:id="rId6" display="datasheet"/>
    <hyperlink ref="J11" r:id="rId7" display="datasheet"/>
    <hyperlink ref="J12" r:id="rId8" display="datasheet"/>
    <hyperlink ref="J13" r:id="rId9" display="datasheet"/>
    <hyperlink ref="J14" r:id="rId10" display="datasheet"/>
    <hyperlink ref="J15" r:id="rId11" display="datasheet"/>
    <hyperlink ref="J16" r:id="rId12" display="datasheet"/>
    <hyperlink ref="J17" r:id="rId13" display="datasheet"/>
    <hyperlink ref="J18" r:id="rId14" display="datasheet"/>
    <hyperlink ref="J19" r:id="rId15" display="datasheet"/>
    <hyperlink ref="J20" r:id="rId16" display="datasheet"/>
    <hyperlink ref="J21" r:id="rId17" display="datasheet"/>
    <hyperlink ref="J22" r:id="rId18" display="datasheet"/>
    <hyperlink ref="J23" r:id="rId19" display="datasheet"/>
    <hyperlink ref="J24" r:id="rId20" display="datasheet"/>
    <hyperlink ref="J25" r:id="rId21" display="datasheet"/>
    <hyperlink ref="J26" r:id="rId22" display="datasheet"/>
    <hyperlink ref="J27" r:id="rId23" display="datasheet"/>
    <hyperlink ref="J28" r:id="rId24" display="datasheet"/>
    <hyperlink ref="J29" r:id="rId25" display="datasheet"/>
    <hyperlink ref="J30" r:id="rId26" display="datasheet"/>
    <hyperlink ref="J31" r:id="rId27" display="datasheet"/>
    <hyperlink ref="J32" r:id="rId28" display="datasheet"/>
    <hyperlink ref="J33" r:id="rId29" display="datasheet"/>
    <hyperlink ref="J34" r:id="rId30" display="datasheet"/>
    <hyperlink ref="J35" r:id="rId31" display="datasheet"/>
    <hyperlink ref="J36" r:id="rId32" display="datasheet"/>
    <hyperlink ref="J37" r:id="rId33" display="datasheet"/>
    <hyperlink ref="J38" r:id="rId34" display="datasheet"/>
    <hyperlink ref="J39" r:id="rId35" display="datasheet"/>
    <hyperlink ref="J40" r:id="rId36" display="datasheet"/>
    <hyperlink ref="J41" r:id="rId37" display="datasheet"/>
    <hyperlink ref="J42" r:id="rId38" display="datashee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9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0"/>
    <col collapsed="false" customWidth="true" hidden="false" outlineLevel="0" max="3" min="3" style="0" width="20"/>
    <col collapsed="false" customWidth="true" hidden="false" outlineLevel="0" max="4" min="4" style="0" width="30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52"/>
    <col collapsed="false" customWidth="true" hidden="false" outlineLevel="0" max="8" min="8" style="0" width="11"/>
  </cols>
  <sheetData>
    <row r="1" customFormat="false" ht="19.5" hidden="false" customHeight="true" outlineLevel="0" collapsed="false">
      <c r="A1" s="6" t="s">
        <v>656</v>
      </c>
    </row>
    <row r="2" customFormat="false" ht="15" hidden="false" customHeight="false" outlineLevel="0" collapsed="false">
      <c r="A2" s="2" t="s">
        <v>657</v>
      </c>
    </row>
    <row r="4" customFormat="false" ht="33.75" hidden="false" customHeight="true" outlineLevel="0" collapsed="false">
      <c r="A4" s="7" t="s">
        <v>658</v>
      </c>
      <c r="B4" s="7" t="s">
        <v>659</v>
      </c>
      <c r="C4" s="7" t="s">
        <v>660</v>
      </c>
      <c r="D4" s="7" t="s">
        <v>661</v>
      </c>
      <c r="E4" s="7" t="s">
        <v>662</v>
      </c>
      <c r="F4" s="7" t="s">
        <v>663</v>
      </c>
      <c r="G4" s="7" t="s">
        <v>664</v>
      </c>
      <c r="H4" s="7" t="s">
        <v>87</v>
      </c>
    </row>
    <row r="5" customFormat="false" ht="25.5" hidden="false" customHeight="true" outlineLevel="0" collapsed="false">
      <c r="A5" s="10" t="s">
        <v>665</v>
      </c>
      <c r="B5" s="10" t="s">
        <v>666</v>
      </c>
      <c r="C5" s="10" t="s">
        <v>667</v>
      </c>
      <c r="D5" s="10" t="s">
        <v>668</v>
      </c>
      <c r="E5" s="10" t="s">
        <v>669</v>
      </c>
      <c r="F5" s="10" t="s">
        <v>670</v>
      </c>
      <c r="G5" s="10" t="s">
        <v>671</v>
      </c>
      <c r="H5" s="9" t="s">
        <v>96</v>
      </c>
    </row>
    <row r="6" customFormat="false" ht="25.5" hidden="false" customHeight="true" outlineLevel="0" collapsed="false">
      <c r="A6" s="10" t="s">
        <v>672</v>
      </c>
      <c r="B6" s="10" t="s">
        <v>666</v>
      </c>
      <c r="C6" s="10" t="s">
        <v>667</v>
      </c>
      <c r="D6" s="10" t="s">
        <v>668</v>
      </c>
      <c r="E6" s="10" t="s">
        <v>669</v>
      </c>
      <c r="F6" s="10" t="s">
        <v>670</v>
      </c>
      <c r="G6" s="10" t="s">
        <v>673</v>
      </c>
      <c r="H6" s="9" t="s">
        <v>96</v>
      </c>
    </row>
    <row r="7" customFormat="false" ht="25.5" hidden="false" customHeight="true" outlineLevel="0" collapsed="false">
      <c r="A7" s="10" t="s">
        <v>674</v>
      </c>
      <c r="B7" s="10" t="s">
        <v>675</v>
      </c>
      <c r="C7" s="10" t="s">
        <v>676</v>
      </c>
      <c r="D7" s="10" t="s">
        <v>677</v>
      </c>
      <c r="E7" s="10" t="s">
        <v>669</v>
      </c>
      <c r="F7" s="10" t="s">
        <v>670</v>
      </c>
      <c r="G7" s="10" t="s">
        <v>678</v>
      </c>
      <c r="H7" s="9" t="s">
        <v>96</v>
      </c>
    </row>
    <row r="8" customFormat="false" ht="25.5" hidden="false" customHeight="true" outlineLevel="0" collapsed="false">
      <c r="A8" s="10" t="s">
        <v>679</v>
      </c>
      <c r="B8" s="10" t="s">
        <v>680</v>
      </c>
      <c r="C8" s="10" t="s">
        <v>681</v>
      </c>
      <c r="D8" s="10" t="s">
        <v>682</v>
      </c>
      <c r="E8" s="10" t="s">
        <v>669</v>
      </c>
      <c r="F8" s="10" t="s">
        <v>670</v>
      </c>
      <c r="G8" s="10" t="s">
        <v>683</v>
      </c>
      <c r="H8" s="9" t="s">
        <v>96</v>
      </c>
    </row>
    <row r="9" customFormat="false" ht="25.5" hidden="false" customHeight="true" outlineLevel="0" collapsed="false">
      <c r="A9" s="10" t="s">
        <v>684</v>
      </c>
      <c r="B9" s="10" t="s">
        <v>685</v>
      </c>
      <c r="C9" s="10" t="s">
        <v>686</v>
      </c>
      <c r="D9" s="10" t="s">
        <v>687</v>
      </c>
      <c r="E9" s="10" t="s">
        <v>669</v>
      </c>
      <c r="F9" s="10" t="s">
        <v>688</v>
      </c>
      <c r="G9" s="10" t="s">
        <v>689</v>
      </c>
      <c r="H9" s="9" t="s">
        <v>96</v>
      </c>
    </row>
    <row r="10" customFormat="false" ht="25.5" hidden="false" customHeight="true" outlineLevel="0" collapsed="false">
      <c r="A10" s="10" t="s">
        <v>690</v>
      </c>
      <c r="B10" s="10" t="s">
        <v>691</v>
      </c>
      <c r="C10" s="10" t="s">
        <v>692</v>
      </c>
      <c r="D10" s="10" t="s">
        <v>693</v>
      </c>
      <c r="E10" s="10" t="s">
        <v>669</v>
      </c>
      <c r="F10" s="10" t="s">
        <v>670</v>
      </c>
      <c r="G10" s="10" t="s">
        <v>694</v>
      </c>
      <c r="H10" s="9" t="s">
        <v>96</v>
      </c>
    </row>
    <row r="11" customFormat="false" ht="25.5" hidden="false" customHeight="true" outlineLevel="0" collapsed="false">
      <c r="A11" s="10" t="s">
        <v>695</v>
      </c>
      <c r="B11" s="10" t="s">
        <v>696</v>
      </c>
      <c r="C11" s="10" t="s">
        <v>697</v>
      </c>
      <c r="D11" s="10" t="s">
        <v>698</v>
      </c>
      <c r="E11" s="10" t="s">
        <v>669</v>
      </c>
      <c r="F11" s="10" t="s">
        <v>670</v>
      </c>
      <c r="G11" s="10" t="s">
        <v>694</v>
      </c>
      <c r="H11" s="9" t="s">
        <v>96</v>
      </c>
    </row>
    <row r="12" customFormat="false" ht="25.5" hidden="false" customHeight="true" outlineLevel="0" collapsed="false">
      <c r="A12" s="10" t="s">
        <v>699</v>
      </c>
      <c r="B12" s="10" t="s">
        <v>700</v>
      </c>
      <c r="C12" s="10" t="s">
        <v>701</v>
      </c>
      <c r="D12" s="10" t="s">
        <v>702</v>
      </c>
      <c r="E12" s="10" t="s">
        <v>669</v>
      </c>
      <c r="F12" s="10" t="s">
        <v>703</v>
      </c>
      <c r="G12" s="10" t="s">
        <v>704</v>
      </c>
      <c r="H12" s="9" t="s">
        <v>96</v>
      </c>
    </row>
    <row r="13" customFormat="false" ht="25.5" hidden="false" customHeight="true" outlineLevel="0" collapsed="false">
      <c r="A13" s="10" t="s">
        <v>705</v>
      </c>
      <c r="B13" s="10" t="s">
        <v>706</v>
      </c>
      <c r="C13" s="10" t="s">
        <v>692</v>
      </c>
      <c r="D13" s="10" t="s">
        <v>687</v>
      </c>
      <c r="E13" s="10" t="s">
        <v>669</v>
      </c>
      <c r="F13" s="10" t="s">
        <v>670</v>
      </c>
      <c r="G13" s="10" t="s">
        <v>707</v>
      </c>
      <c r="H13" s="9" t="s">
        <v>96</v>
      </c>
    </row>
    <row r="14" customFormat="false" ht="25.5" hidden="false" customHeight="true" outlineLevel="0" collapsed="false">
      <c r="A14" s="10" t="s">
        <v>708</v>
      </c>
      <c r="B14" s="10" t="s">
        <v>709</v>
      </c>
      <c r="C14" s="10" t="s">
        <v>710</v>
      </c>
      <c r="D14" s="10" t="s">
        <v>687</v>
      </c>
      <c r="E14" s="10" t="s">
        <v>669</v>
      </c>
      <c r="F14" s="10" t="s">
        <v>711</v>
      </c>
      <c r="G14" s="10" t="s">
        <v>712</v>
      </c>
      <c r="H14" s="9" t="s">
        <v>96</v>
      </c>
    </row>
    <row r="17" customFormat="false" ht="15" hidden="false" customHeight="false" outlineLevel="0" collapsed="false">
      <c r="A17" s="5" t="s">
        <v>713</v>
      </c>
    </row>
    <row r="18" customFormat="false" ht="33.75" hidden="false" customHeight="true" outlineLevel="0" collapsed="false">
      <c r="A18" s="7" t="s">
        <v>714</v>
      </c>
      <c r="B18" s="7" t="s">
        <v>715</v>
      </c>
      <c r="C18" s="7" t="s">
        <v>716</v>
      </c>
      <c r="D18" s="7" t="s">
        <v>87</v>
      </c>
    </row>
    <row r="19" customFormat="false" ht="15" hidden="false" customHeight="false" outlineLevel="0" collapsed="false">
      <c r="A19" s="8" t="s">
        <v>717</v>
      </c>
      <c r="B19" s="8" t="s">
        <v>718</v>
      </c>
      <c r="C19" s="8" t="s">
        <v>719</v>
      </c>
      <c r="D19" s="9" t="s">
        <v>96</v>
      </c>
    </row>
    <row r="20" customFormat="false" ht="15" hidden="false" customHeight="false" outlineLevel="0" collapsed="false">
      <c r="A20" s="8" t="s">
        <v>720</v>
      </c>
      <c r="B20" s="8" t="s">
        <v>721</v>
      </c>
      <c r="C20" s="8" t="s">
        <v>722</v>
      </c>
      <c r="D20" s="9" t="s">
        <v>96</v>
      </c>
    </row>
    <row r="21" customFormat="false" ht="15" hidden="false" customHeight="false" outlineLevel="0" collapsed="false">
      <c r="A21" s="8" t="s">
        <v>723</v>
      </c>
      <c r="B21" s="8" t="s">
        <v>721</v>
      </c>
      <c r="C21" s="8" t="s">
        <v>724</v>
      </c>
      <c r="D21" s="9" t="s">
        <v>96</v>
      </c>
    </row>
  </sheetData>
  <autoFilter ref="A18:D21"/>
  <hyperlinks>
    <hyperlink ref="H5" r:id="rId1" display="datasheet"/>
    <hyperlink ref="H6" r:id="rId2" display="datasheet"/>
    <hyperlink ref="H7" r:id="rId3" display="datasheet"/>
    <hyperlink ref="H8" r:id="rId4" display="datasheet"/>
    <hyperlink ref="H9" r:id="rId5" display="datasheet"/>
    <hyperlink ref="H10" r:id="rId6" display="datasheet"/>
    <hyperlink ref="H11" r:id="rId7" display="datasheet"/>
    <hyperlink ref="H12" r:id="rId8" display="datasheet"/>
    <hyperlink ref="H13" r:id="rId9" display="datasheet"/>
    <hyperlink ref="H14" r:id="rId10" display="datasheet"/>
    <hyperlink ref="D19" r:id="rId11" display="datasheet"/>
    <hyperlink ref="D20" r:id="rId12" display="datasheet"/>
    <hyperlink ref="D21" r:id="rId13" display="datashee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4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5" min="4" style="0" width="10"/>
    <col collapsed="false" customWidth="true" hidden="false" outlineLevel="0" max="6" min="6" style="0" width="12"/>
    <col collapsed="false" customWidth="true" hidden="false" outlineLevel="0" max="7" min="7" style="0" width="24"/>
    <col collapsed="false" customWidth="true" hidden="false" outlineLevel="0" max="8" min="8" style="0" width="11"/>
  </cols>
  <sheetData>
    <row r="1" customFormat="false" ht="19.5" hidden="false" customHeight="true" outlineLevel="0" collapsed="false">
      <c r="A1" s="6" t="s">
        <v>725</v>
      </c>
    </row>
    <row r="2" customFormat="false" ht="15" hidden="false" customHeight="false" outlineLevel="0" collapsed="false">
      <c r="A2" s="2" t="s">
        <v>726</v>
      </c>
    </row>
    <row r="4" customFormat="false" ht="33.75" hidden="false" customHeight="true" outlineLevel="0" collapsed="false">
      <c r="A4" s="7" t="s">
        <v>431</v>
      </c>
      <c r="B4" s="7" t="s">
        <v>727</v>
      </c>
      <c r="C4" s="7" t="s">
        <v>728</v>
      </c>
      <c r="D4" s="7" t="s">
        <v>729</v>
      </c>
      <c r="E4" s="7" t="s">
        <v>730</v>
      </c>
      <c r="F4" s="7" t="s">
        <v>731</v>
      </c>
      <c r="G4" s="7" t="s">
        <v>732</v>
      </c>
      <c r="H4" s="7" t="s">
        <v>87</v>
      </c>
    </row>
    <row r="5" customFormat="false" ht="15" hidden="false" customHeight="false" outlineLevel="0" collapsed="false">
      <c r="A5" s="8" t="s">
        <v>455</v>
      </c>
      <c r="B5" s="8" t="s">
        <v>160</v>
      </c>
      <c r="C5" s="8" t="n">
        <v>0.1</v>
      </c>
      <c r="D5" s="8" t="n">
        <v>621</v>
      </c>
      <c r="E5" s="8" t="n">
        <v>457</v>
      </c>
      <c r="F5" s="8" t="n">
        <f aca="false">IF(ISNUMBER(D5),ROUND(SQRT(100000/D5),0),"")</f>
        <v>13</v>
      </c>
      <c r="G5" s="8" t="s">
        <v>733</v>
      </c>
      <c r="H5" s="9" t="s">
        <v>96</v>
      </c>
    </row>
    <row r="6" customFormat="false" ht="15" hidden="false" customHeight="false" outlineLevel="0" collapsed="false">
      <c r="A6" s="8" t="s">
        <v>455</v>
      </c>
      <c r="B6" s="8" t="s">
        <v>166</v>
      </c>
      <c r="C6" s="8" t="n">
        <v>0.2</v>
      </c>
      <c r="D6" s="8" t="n">
        <v>383</v>
      </c>
      <c r="E6" s="8" t="n">
        <v>281</v>
      </c>
      <c r="F6" s="8" t="n">
        <f aca="false">IF(ISNUMBER(D6),ROUND(SQRT(100000/D6),0),"")</f>
        <v>16</v>
      </c>
      <c r="G6" s="8" t="s">
        <v>734</v>
      </c>
      <c r="H6" s="9" t="s">
        <v>96</v>
      </c>
    </row>
    <row r="7" customFormat="false" ht="15" hidden="false" customHeight="false" outlineLevel="0" collapsed="false">
      <c r="A7" s="8" t="s">
        <v>455</v>
      </c>
      <c r="B7" s="8" t="s">
        <v>166</v>
      </c>
      <c r="C7" s="8" t="n">
        <v>0.5</v>
      </c>
      <c r="D7" s="8" t="n">
        <v>201</v>
      </c>
      <c r="E7" s="8" t="n">
        <v>148</v>
      </c>
      <c r="F7" s="8" t="n">
        <f aca="false">IF(ISNUMBER(D7),ROUND(SQRT(100000/D7),0),"")</f>
        <v>22</v>
      </c>
      <c r="G7" s="8" t="s">
        <v>735</v>
      </c>
      <c r="H7" s="9" t="s">
        <v>96</v>
      </c>
    </row>
    <row r="8" customFormat="false" ht="15" hidden="false" customHeight="false" outlineLevel="0" collapsed="false">
      <c r="A8" s="8" t="s">
        <v>455</v>
      </c>
      <c r="B8" s="8" t="s">
        <v>166</v>
      </c>
      <c r="C8" s="8" t="n">
        <v>1</v>
      </c>
      <c r="D8" s="8" t="n">
        <v>124</v>
      </c>
      <c r="E8" s="8" t="n">
        <v>91</v>
      </c>
      <c r="F8" s="8" t="n">
        <f aca="false">IF(ISNUMBER(D8),ROUND(SQRT(100000/D8),0),"")</f>
        <v>28</v>
      </c>
      <c r="G8" s="8" t="s">
        <v>736</v>
      </c>
      <c r="H8" s="9" t="s">
        <v>96</v>
      </c>
    </row>
    <row r="9" customFormat="false" ht="15" hidden="false" customHeight="false" outlineLevel="0" collapsed="false">
      <c r="A9" s="8" t="s">
        <v>459</v>
      </c>
      <c r="B9" s="8" t="s">
        <v>160</v>
      </c>
      <c r="C9" s="8" t="n">
        <v>0.1</v>
      </c>
      <c r="D9" s="8" t="n">
        <v>790</v>
      </c>
      <c r="E9" s="8"/>
      <c r="F9" s="8" t="n">
        <f aca="false">IF(ISNUMBER(D9),ROUND(SQRT(100000/D9),0),"")</f>
        <v>11</v>
      </c>
      <c r="G9" s="8" t="s">
        <v>737</v>
      </c>
      <c r="H9" s="9" t="s">
        <v>96</v>
      </c>
    </row>
    <row r="10" customFormat="false" ht="15" hidden="false" customHeight="false" outlineLevel="0" collapsed="false">
      <c r="A10" s="8" t="s">
        <v>459</v>
      </c>
      <c r="B10" s="8" t="s">
        <v>166</v>
      </c>
      <c r="C10" s="8" t="n">
        <v>0.2</v>
      </c>
      <c r="D10" s="8" t="n">
        <v>482</v>
      </c>
      <c r="E10" s="8"/>
      <c r="F10" s="8" t="n">
        <f aca="false">IF(ISNUMBER(D10),ROUND(SQRT(100000/D10),0),"")</f>
        <v>14</v>
      </c>
      <c r="G10" s="8" t="s">
        <v>738</v>
      </c>
      <c r="H10" s="9" t="s">
        <v>96</v>
      </c>
    </row>
    <row r="11" customFormat="false" ht="15" hidden="false" customHeight="false" outlineLevel="0" collapsed="false">
      <c r="A11" s="8" t="s">
        <v>459</v>
      </c>
      <c r="B11" s="8" t="s">
        <v>166</v>
      </c>
      <c r="C11" s="8" t="n">
        <v>0.5</v>
      </c>
      <c r="D11" s="8" t="n">
        <v>251</v>
      </c>
      <c r="E11" s="8"/>
      <c r="F11" s="8" t="n">
        <f aca="false">IF(ISNUMBER(D11),ROUND(SQRT(100000/D11),0),"")</f>
        <v>20</v>
      </c>
      <c r="G11" s="8" t="s">
        <v>739</v>
      </c>
      <c r="H11" s="9" t="s">
        <v>96</v>
      </c>
    </row>
    <row r="12" customFormat="false" ht="15" hidden="false" customHeight="false" outlineLevel="0" collapsed="false">
      <c r="A12" s="8" t="s">
        <v>459</v>
      </c>
      <c r="B12" s="8" t="s">
        <v>166</v>
      </c>
      <c r="C12" s="8" t="n">
        <v>1</v>
      </c>
      <c r="D12" s="8" t="n">
        <v>153</v>
      </c>
      <c r="E12" s="8"/>
      <c r="F12" s="8" t="n">
        <f aca="false">IF(ISNUMBER(D12),ROUND(SQRT(100000/D12),0),"")</f>
        <v>26</v>
      </c>
      <c r="G12" s="8" t="s">
        <v>740</v>
      </c>
      <c r="H12" s="9" t="s">
        <v>96</v>
      </c>
    </row>
    <row r="13" customFormat="false" ht="15" hidden="false" customHeight="false" outlineLevel="0" collapsed="false">
      <c r="A13" s="8" t="s">
        <v>459</v>
      </c>
      <c r="B13" s="8" t="s">
        <v>166</v>
      </c>
      <c r="C13" s="8" t="n">
        <v>2.5</v>
      </c>
      <c r="D13" s="8" t="n">
        <v>80</v>
      </c>
      <c r="E13" s="8"/>
      <c r="F13" s="8" t="n">
        <f aca="false">IF(ISNUMBER(D13),ROUND(SQRT(100000/D13),0),"")</f>
        <v>35</v>
      </c>
      <c r="G13" s="8" t="s">
        <v>741</v>
      </c>
      <c r="H13" s="9" t="s">
        <v>96</v>
      </c>
    </row>
    <row r="14" customFormat="false" ht="15" hidden="false" customHeight="false" outlineLevel="0" collapsed="false">
      <c r="A14" s="8" t="s">
        <v>462</v>
      </c>
      <c r="B14" s="8" t="s">
        <v>160</v>
      </c>
      <c r="C14" s="8" t="n">
        <v>0.1</v>
      </c>
      <c r="D14" s="8" t="n">
        <v>1062</v>
      </c>
      <c r="E14" s="8"/>
      <c r="F14" s="8" t="n">
        <f aca="false">IF(ISNUMBER(D14),ROUND(SQRT(100000/D14),0),"")</f>
        <v>10</v>
      </c>
      <c r="G14" s="8" t="s">
        <v>742</v>
      </c>
      <c r="H14" s="9" t="s">
        <v>96</v>
      </c>
    </row>
    <row r="15" customFormat="false" ht="15" hidden="false" customHeight="false" outlineLevel="0" collapsed="false">
      <c r="A15" s="8" t="s">
        <v>462</v>
      </c>
      <c r="B15" s="8" t="s">
        <v>166</v>
      </c>
      <c r="C15" s="8" t="n">
        <v>0.2</v>
      </c>
      <c r="D15" s="8" t="n">
        <v>639</v>
      </c>
      <c r="E15" s="8"/>
      <c r="F15" s="8" t="n">
        <f aca="false">IF(ISNUMBER(D15),ROUND(SQRT(100000/D15),0),"")</f>
        <v>13</v>
      </c>
      <c r="G15" s="8" t="s">
        <v>743</v>
      </c>
      <c r="H15" s="9" t="s">
        <v>96</v>
      </c>
    </row>
    <row r="16" customFormat="false" ht="15" hidden="false" customHeight="false" outlineLevel="0" collapsed="false">
      <c r="A16" s="8" t="s">
        <v>462</v>
      </c>
      <c r="B16" s="8" t="s">
        <v>166</v>
      </c>
      <c r="C16" s="8" t="n">
        <v>0.5</v>
      </c>
      <c r="D16" s="8" t="n">
        <v>326</v>
      </c>
      <c r="E16" s="8"/>
      <c r="F16" s="8" t="n">
        <f aca="false">IF(ISNUMBER(D16),ROUND(SQRT(100000/D16),0),"")</f>
        <v>18</v>
      </c>
      <c r="G16" s="8" t="s">
        <v>744</v>
      </c>
      <c r="H16" s="9" t="s">
        <v>96</v>
      </c>
    </row>
    <row r="17" customFormat="false" ht="15" hidden="false" customHeight="false" outlineLevel="0" collapsed="false">
      <c r="A17" s="8" t="s">
        <v>462</v>
      </c>
      <c r="B17" s="8" t="s">
        <v>166</v>
      </c>
      <c r="C17" s="8" t="n">
        <v>1</v>
      </c>
      <c r="D17" s="8" t="n">
        <v>196</v>
      </c>
      <c r="E17" s="8"/>
      <c r="F17" s="8" t="n">
        <f aca="false">IF(ISNUMBER(D17),ROUND(SQRT(100000/D17),0),"")</f>
        <v>23</v>
      </c>
      <c r="G17" s="8" t="s">
        <v>745</v>
      </c>
      <c r="H17" s="9" t="s">
        <v>96</v>
      </c>
    </row>
    <row r="18" customFormat="false" ht="15" hidden="false" customHeight="false" outlineLevel="0" collapsed="false">
      <c r="A18" s="8" t="s">
        <v>462</v>
      </c>
      <c r="B18" s="8" t="s">
        <v>166</v>
      </c>
      <c r="C18" s="8" t="n">
        <v>2</v>
      </c>
      <c r="D18" s="8" t="n">
        <v>115</v>
      </c>
      <c r="E18" s="8"/>
      <c r="F18" s="8" t="n">
        <f aca="false">IF(ISNUMBER(D18),ROUND(SQRT(100000/D18),0),"")</f>
        <v>29</v>
      </c>
      <c r="G18" s="8" t="s">
        <v>746</v>
      </c>
      <c r="H18" s="9" t="s">
        <v>96</v>
      </c>
    </row>
    <row r="19" customFormat="false" ht="15" hidden="false" customHeight="false" outlineLevel="0" collapsed="false">
      <c r="A19" s="8" t="s">
        <v>465</v>
      </c>
      <c r="B19" s="8" t="s">
        <v>160</v>
      </c>
      <c r="C19" s="8" t="n">
        <v>0.2</v>
      </c>
      <c r="D19" s="8" t="n">
        <v>862</v>
      </c>
      <c r="E19" s="8"/>
      <c r="F19" s="8" t="n">
        <f aca="false">IF(ISNUMBER(D19),ROUND(SQRT(100000/D19),0),"")</f>
        <v>11</v>
      </c>
      <c r="G19" s="8" t="s">
        <v>747</v>
      </c>
      <c r="H19" s="9" t="s">
        <v>96</v>
      </c>
    </row>
    <row r="20" customFormat="false" ht="15" hidden="false" customHeight="false" outlineLevel="0" collapsed="false">
      <c r="A20" s="8" t="s">
        <v>465</v>
      </c>
      <c r="B20" s="8" t="s">
        <v>166</v>
      </c>
      <c r="C20" s="8" t="n">
        <v>0.5</v>
      </c>
      <c r="D20" s="8" t="n">
        <v>438</v>
      </c>
      <c r="E20" s="8"/>
      <c r="F20" s="8" t="n">
        <f aca="false">IF(ISNUMBER(D20),ROUND(SQRT(100000/D20),0),"")</f>
        <v>15</v>
      </c>
      <c r="G20" s="8" t="s">
        <v>748</v>
      </c>
      <c r="H20" s="9" t="s">
        <v>96</v>
      </c>
    </row>
    <row r="21" customFormat="false" ht="15" hidden="false" customHeight="false" outlineLevel="0" collapsed="false">
      <c r="A21" s="8" t="s">
        <v>465</v>
      </c>
      <c r="B21" s="8" t="s">
        <v>166</v>
      </c>
      <c r="C21" s="8" t="n">
        <v>1</v>
      </c>
      <c r="D21" s="8" t="n">
        <v>262</v>
      </c>
      <c r="E21" s="8"/>
      <c r="F21" s="8" t="n">
        <f aca="false">IF(ISNUMBER(D21),ROUND(SQRT(100000/D21),0),"")</f>
        <v>20</v>
      </c>
      <c r="G21" s="8" t="s">
        <v>749</v>
      </c>
      <c r="H21" s="9" t="s">
        <v>96</v>
      </c>
    </row>
    <row r="22" customFormat="false" ht="15" hidden="false" customHeight="false" outlineLevel="0" collapsed="false">
      <c r="A22" s="8" t="s">
        <v>465</v>
      </c>
      <c r="B22" s="8" t="s">
        <v>166</v>
      </c>
      <c r="C22" s="8" t="n">
        <v>1.5</v>
      </c>
      <c r="D22" s="8" t="n">
        <v>194</v>
      </c>
      <c r="E22" s="8"/>
      <c r="F22" s="8" t="n">
        <f aca="false">IF(ISNUMBER(D22),ROUND(SQRT(100000/D22),0),"")</f>
        <v>23</v>
      </c>
      <c r="G22" s="8" t="s">
        <v>750</v>
      </c>
      <c r="H22" s="9" t="s">
        <v>96</v>
      </c>
    </row>
    <row r="23" customFormat="false" ht="15" hidden="false" customHeight="false" outlineLevel="0" collapsed="false">
      <c r="A23" s="8" t="s">
        <v>465</v>
      </c>
      <c r="B23" s="8" t="s">
        <v>166</v>
      </c>
      <c r="C23" s="8" t="n">
        <v>2</v>
      </c>
      <c r="D23" s="8" t="n">
        <v>150</v>
      </c>
      <c r="E23" s="8"/>
      <c r="F23" s="8" t="n">
        <f aca="false">IF(ISNUMBER(D23),ROUND(SQRT(100000/D23),0),"")</f>
        <v>26</v>
      </c>
      <c r="G23" s="8" t="s">
        <v>751</v>
      </c>
      <c r="H23" s="9" t="s">
        <v>96</v>
      </c>
    </row>
    <row r="24" customFormat="false" ht="15" hidden="false" customHeight="false" outlineLevel="0" collapsed="false">
      <c r="A24" s="8" t="s">
        <v>468</v>
      </c>
      <c r="B24" s="8" t="s">
        <v>160</v>
      </c>
      <c r="C24" s="8" t="n">
        <v>0.2</v>
      </c>
      <c r="D24" s="8" t="n">
        <v>1035</v>
      </c>
      <c r="E24" s="8"/>
      <c r="F24" s="8" t="n">
        <f aca="false">IF(ISNUMBER(D24),ROUND(SQRT(100000/D24),0),"")</f>
        <v>10</v>
      </c>
      <c r="G24" s="8" t="s">
        <v>752</v>
      </c>
      <c r="H24" s="9" t="s">
        <v>96</v>
      </c>
    </row>
    <row r="25" customFormat="false" ht="15" hidden="false" customHeight="false" outlineLevel="0" collapsed="false">
      <c r="A25" s="8" t="s">
        <v>468</v>
      </c>
      <c r="B25" s="8" t="s">
        <v>166</v>
      </c>
      <c r="C25" s="8" t="n">
        <v>0.5</v>
      </c>
      <c r="D25" s="8" t="n">
        <v>525</v>
      </c>
      <c r="E25" s="8"/>
      <c r="F25" s="8" t="n">
        <f aca="false">IF(ISNUMBER(D25),ROUND(SQRT(100000/D25),0),"")</f>
        <v>14</v>
      </c>
      <c r="G25" s="8" t="s">
        <v>753</v>
      </c>
      <c r="H25" s="9" t="s">
        <v>96</v>
      </c>
    </row>
    <row r="26" customFormat="false" ht="15" hidden="false" customHeight="false" outlineLevel="0" collapsed="false">
      <c r="A26" s="8" t="s">
        <v>468</v>
      </c>
      <c r="B26" s="8" t="s">
        <v>166</v>
      </c>
      <c r="C26" s="8" t="n">
        <v>1</v>
      </c>
      <c r="D26" s="8" t="n">
        <v>314</v>
      </c>
      <c r="E26" s="8"/>
      <c r="F26" s="8" t="n">
        <f aca="false">IF(ISNUMBER(D26),ROUND(SQRT(100000/D26),0),"")</f>
        <v>18</v>
      </c>
      <c r="G26" s="8" t="s">
        <v>754</v>
      </c>
      <c r="H26" s="9" t="s">
        <v>96</v>
      </c>
    </row>
    <row r="27" customFormat="false" ht="15" hidden="false" customHeight="false" outlineLevel="0" collapsed="false">
      <c r="A27" s="8" t="s">
        <v>468</v>
      </c>
      <c r="B27" s="8" t="s">
        <v>166</v>
      </c>
      <c r="C27" s="8" t="n">
        <v>1.5</v>
      </c>
      <c r="D27" s="8" t="n">
        <v>230</v>
      </c>
      <c r="E27" s="8"/>
      <c r="F27" s="8" t="n">
        <f aca="false">IF(ISNUMBER(D27),ROUND(SQRT(100000/D27),0),"")</f>
        <v>21</v>
      </c>
      <c r="G27" s="8" t="s">
        <v>755</v>
      </c>
      <c r="H27" s="9" t="s">
        <v>96</v>
      </c>
    </row>
    <row r="28" customFormat="false" ht="15" hidden="false" customHeight="false" outlineLevel="0" collapsed="false">
      <c r="A28" s="8" t="s">
        <v>468</v>
      </c>
      <c r="B28" s="8" t="s">
        <v>166</v>
      </c>
      <c r="C28" s="8" t="n">
        <v>2</v>
      </c>
      <c r="D28" s="8" t="n">
        <v>188</v>
      </c>
      <c r="E28" s="8"/>
      <c r="F28" s="8" t="n">
        <f aca="false">IF(ISNUMBER(D28),ROUND(SQRT(100000/D28),0),"")</f>
        <v>23</v>
      </c>
      <c r="G28" s="8" t="s">
        <v>756</v>
      </c>
      <c r="H28" s="9" t="s">
        <v>96</v>
      </c>
    </row>
    <row r="29" customFormat="false" ht="15" hidden="false" customHeight="false" outlineLevel="0" collapsed="false">
      <c r="A29" s="8" t="s">
        <v>471</v>
      </c>
      <c r="B29" s="8" t="s">
        <v>757</v>
      </c>
      <c r="C29" s="8" t="n">
        <v>0.2</v>
      </c>
      <c r="D29" s="8" t="n">
        <v>1377</v>
      </c>
      <c r="E29" s="8"/>
      <c r="F29" s="8" t="n">
        <f aca="false">IF(ISNUMBER(D29),ROUND(SQRT(100000/D29),0),"")</f>
        <v>9</v>
      </c>
      <c r="G29" s="8" t="s">
        <v>758</v>
      </c>
      <c r="H29" s="9" t="s">
        <v>96</v>
      </c>
    </row>
    <row r="30" customFormat="false" ht="15" hidden="false" customHeight="false" outlineLevel="0" collapsed="false">
      <c r="A30" s="8" t="s">
        <v>471</v>
      </c>
      <c r="B30" s="8" t="s">
        <v>757</v>
      </c>
      <c r="C30" s="8" t="n">
        <v>2</v>
      </c>
      <c r="D30" s="8" t="n">
        <v>229</v>
      </c>
      <c r="E30" s="8"/>
      <c r="F30" s="8" t="n">
        <f aca="false">IF(ISNUMBER(D30),ROUND(SQRT(100000/D30),0),"")</f>
        <v>21</v>
      </c>
      <c r="G30" s="8" t="s">
        <v>759</v>
      </c>
      <c r="H30" s="9" t="s">
        <v>96</v>
      </c>
    </row>
    <row r="31" customFormat="false" ht="15" hidden="false" customHeight="false" outlineLevel="0" collapsed="false">
      <c r="A31" s="8" t="s">
        <v>760</v>
      </c>
      <c r="B31" s="8" t="s">
        <v>160</v>
      </c>
      <c r="C31" s="8" t="n">
        <v>0.5</v>
      </c>
      <c r="D31" s="8" t="n">
        <v>244</v>
      </c>
      <c r="E31" s="8"/>
      <c r="F31" s="8" t="n">
        <f aca="false">IF(ISNUMBER(D31),ROUND(SQRT(100000/D31),0),"")</f>
        <v>20</v>
      </c>
      <c r="G31" s="8" t="s">
        <v>761</v>
      </c>
      <c r="H31" s="9" t="s">
        <v>96</v>
      </c>
    </row>
    <row r="32" customFormat="false" ht="15" hidden="false" customHeight="false" outlineLevel="0" collapsed="false">
      <c r="A32" s="8" t="s">
        <v>760</v>
      </c>
      <c r="B32" s="8" t="s">
        <v>166</v>
      </c>
      <c r="C32" s="8" t="n">
        <v>1</v>
      </c>
      <c r="D32" s="8" t="n">
        <v>145</v>
      </c>
      <c r="E32" s="8"/>
      <c r="F32" s="8" t="n">
        <f aca="false">IF(ISNUMBER(D32),ROUND(SQRT(100000/D32),0),"")</f>
        <v>26</v>
      </c>
      <c r="G32" s="8" t="s">
        <v>762</v>
      </c>
      <c r="H32" s="9" t="s">
        <v>96</v>
      </c>
    </row>
    <row r="33" customFormat="false" ht="15" hidden="false" customHeight="false" outlineLevel="0" collapsed="false">
      <c r="A33" s="8" t="s">
        <v>502</v>
      </c>
      <c r="B33" s="8" t="s">
        <v>160</v>
      </c>
      <c r="C33" s="8" t="n">
        <v>0.5</v>
      </c>
      <c r="D33" s="8" t="n">
        <v>300</v>
      </c>
      <c r="E33" s="8" t="n">
        <v>160</v>
      </c>
      <c r="F33" s="8" t="n">
        <f aca="false">IF(ISNUMBER(D33),ROUND(SQRT(100000/D33),0),"")</f>
        <v>18</v>
      </c>
      <c r="G33" s="8" t="s">
        <v>763</v>
      </c>
      <c r="H33" s="9" t="s">
        <v>96</v>
      </c>
    </row>
    <row r="34" customFormat="false" ht="15" hidden="false" customHeight="false" outlineLevel="0" collapsed="false">
      <c r="A34" s="8" t="s">
        <v>502</v>
      </c>
      <c r="B34" s="8" t="s">
        <v>160</v>
      </c>
      <c r="C34" s="8" t="n">
        <v>1</v>
      </c>
      <c r="D34" s="8" t="n">
        <v>183</v>
      </c>
      <c r="E34" s="8" t="n">
        <v>96</v>
      </c>
      <c r="F34" s="8" t="n">
        <f aca="false">IF(ISNUMBER(D34),ROUND(SQRT(100000/D34),0),"")</f>
        <v>23</v>
      </c>
      <c r="G34" s="8" t="s">
        <v>764</v>
      </c>
      <c r="H34" s="9" t="s">
        <v>96</v>
      </c>
    </row>
    <row r="35" customFormat="false" ht="15" hidden="false" customHeight="false" outlineLevel="0" collapsed="false">
      <c r="A35" s="8" t="s">
        <v>512</v>
      </c>
      <c r="B35" s="8" t="s">
        <v>166</v>
      </c>
      <c r="C35" s="8" t="n">
        <v>0.49</v>
      </c>
      <c r="D35" s="8" t="n">
        <v>100</v>
      </c>
      <c r="E35" s="8"/>
      <c r="F35" s="8" t="n">
        <f aca="false">IF(ISNUMBER(D35),ROUND(SQRT(100000/D35),0),"")</f>
        <v>32</v>
      </c>
      <c r="G35" s="8" t="s">
        <v>765</v>
      </c>
      <c r="H35" s="9" t="s">
        <v>96</v>
      </c>
    </row>
    <row r="36" customFormat="false" ht="15" hidden="false" customHeight="false" outlineLevel="0" collapsed="false">
      <c r="A36" s="8" t="s">
        <v>512</v>
      </c>
      <c r="B36" s="8" t="s">
        <v>166</v>
      </c>
      <c r="C36" s="8" t="n">
        <v>0.25</v>
      </c>
      <c r="D36" s="8" t="n">
        <v>160</v>
      </c>
      <c r="E36" s="8"/>
      <c r="F36" s="8" t="n">
        <f aca="false">IF(ISNUMBER(D36),ROUND(SQRT(100000/D36),0),"")</f>
        <v>25</v>
      </c>
      <c r="G36" s="8" t="s">
        <v>766</v>
      </c>
      <c r="H36" s="9" t="s">
        <v>96</v>
      </c>
    </row>
    <row r="37" customFormat="false" ht="15" hidden="false" customHeight="false" outlineLevel="0" collapsed="false">
      <c r="A37" s="8" t="s">
        <v>512</v>
      </c>
      <c r="B37" s="8" t="s">
        <v>166</v>
      </c>
      <c r="C37" s="8" t="n">
        <v>0.13</v>
      </c>
      <c r="D37" s="8" t="n">
        <v>250</v>
      </c>
      <c r="E37" s="8"/>
      <c r="F37" s="8" t="n">
        <f aca="false">IF(ISNUMBER(D37),ROUND(SQRT(100000/D37),0),"")</f>
        <v>20</v>
      </c>
      <c r="G37" s="8" t="s">
        <v>767</v>
      </c>
      <c r="H37" s="9" t="s">
        <v>96</v>
      </c>
    </row>
    <row r="38" customFormat="false" ht="15" hidden="false" customHeight="false" outlineLevel="0" collapsed="false">
      <c r="A38" s="8" t="s">
        <v>512</v>
      </c>
      <c r="B38" s="8" t="s">
        <v>166</v>
      </c>
      <c r="C38" s="8" t="n">
        <v>0.09</v>
      </c>
      <c r="D38" s="8" t="n">
        <v>330</v>
      </c>
      <c r="E38" s="8"/>
      <c r="F38" s="8" t="n">
        <f aca="false">IF(ISNUMBER(D38),ROUND(SQRT(100000/D38),0),"")</f>
        <v>17</v>
      </c>
      <c r="G38" s="8" t="s">
        <v>768</v>
      </c>
      <c r="H38" s="9" t="s">
        <v>96</v>
      </c>
    </row>
    <row r="39" customFormat="false" ht="15" hidden="false" customHeight="false" outlineLevel="0" collapsed="false">
      <c r="A39" s="8" t="s">
        <v>517</v>
      </c>
      <c r="B39" s="8" t="s">
        <v>166</v>
      </c>
      <c r="C39" s="8" t="n">
        <v>0.71</v>
      </c>
      <c r="D39" s="8" t="n">
        <v>160</v>
      </c>
      <c r="E39" s="8"/>
      <c r="F39" s="8" t="n">
        <f aca="false">IF(ISNUMBER(D39),ROUND(SQRT(100000/D39),0),"")</f>
        <v>25</v>
      </c>
      <c r="G39" s="8" t="s">
        <v>769</v>
      </c>
      <c r="H39" s="9" t="s">
        <v>96</v>
      </c>
    </row>
    <row r="40" customFormat="false" ht="15" hidden="false" customHeight="false" outlineLevel="0" collapsed="false">
      <c r="A40" s="8" t="s">
        <v>517</v>
      </c>
      <c r="B40" s="8" t="s">
        <v>166</v>
      </c>
      <c r="C40" s="8" t="n">
        <v>0.38</v>
      </c>
      <c r="D40" s="8" t="n">
        <v>250</v>
      </c>
      <c r="E40" s="8"/>
      <c r="F40" s="8" t="n">
        <f aca="false">IF(ISNUMBER(D40),ROUND(SQRT(100000/D40),0),"")</f>
        <v>20</v>
      </c>
      <c r="G40" s="8" t="s">
        <v>770</v>
      </c>
      <c r="H40" s="9" t="s">
        <v>96</v>
      </c>
    </row>
    <row r="41" customFormat="false" ht="15" hidden="false" customHeight="false" outlineLevel="0" collapsed="false">
      <c r="A41" s="8" t="s">
        <v>517</v>
      </c>
      <c r="B41" s="8" t="s">
        <v>166</v>
      </c>
      <c r="C41" s="8" t="n">
        <v>0.27</v>
      </c>
      <c r="D41" s="8" t="n">
        <v>315</v>
      </c>
      <c r="E41" s="8"/>
      <c r="F41" s="8" t="n">
        <f aca="false">IF(ISNUMBER(D41),ROUND(SQRT(100000/D41),0),"")</f>
        <v>18</v>
      </c>
      <c r="G41" s="8" t="s">
        <v>771</v>
      </c>
      <c r="H41" s="9" t="s">
        <v>96</v>
      </c>
    </row>
    <row r="42" customFormat="false" ht="15" hidden="false" customHeight="false" outlineLevel="0" collapsed="false">
      <c r="A42" s="8" t="s">
        <v>772</v>
      </c>
      <c r="B42" s="8" t="s">
        <v>166</v>
      </c>
      <c r="C42" s="8" t="n">
        <v>0.08</v>
      </c>
      <c r="D42" s="8" t="n">
        <v>160</v>
      </c>
      <c r="E42" s="8"/>
      <c r="F42" s="8" t="n">
        <f aca="false">IF(ISNUMBER(D42),ROUND(SQRT(100000/D42),0),"")</f>
        <v>25</v>
      </c>
      <c r="G42" s="8" t="s">
        <v>773</v>
      </c>
      <c r="H42" s="9" t="s">
        <v>96</v>
      </c>
    </row>
    <row r="43" customFormat="false" ht="15" hidden="false" customHeight="false" outlineLevel="0" collapsed="false">
      <c r="A43" s="8" t="s">
        <v>772</v>
      </c>
      <c r="B43" s="8" t="s">
        <v>166</v>
      </c>
      <c r="C43" s="8" t="n">
        <v>0.14</v>
      </c>
      <c r="D43" s="8" t="n">
        <v>100</v>
      </c>
      <c r="E43" s="8"/>
      <c r="F43" s="8" t="n">
        <f aca="false">IF(ISNUMBER(D43),ROUND(SQRT(100000/D43),0),"")</f>
        <v>32</v>
      </c>
      <c r="G43" s="8" t="s">
        <v>774</v>
      </c>
      <c r="H43" s="9" t="s">
        <v>96</v>
      </c>
    </row>
    <row r="45" customFormat="false" ht="15" hidden="false" customHeight="false" outlineLevel="0" collapsed="false">
      <c r="A45" s="2" t="s">
        <v>775</v>
      </c>
    </row>
    <row r="46" customFormat="false" ht="15" hidden="false" customHeight="false" outlineLevel="0" collapsed="false">
      <c r="A46" s="2" t="s">
        <v>776</v>
      </c>
    </row>
    <row r="47" customFormat="false" ht="15" hidden="false" customHeight="false" outlineLevel="0" collapsed="false">
      <c r="A47" s="2" t="s">
        <v>777</v>
      </c>
    </row>
  </sheetData>
  <autoFilter ref="A4:H43"/>
  <hyperlinks>
    <hyperlink ref="H5" r:id="rId1" display="datasheet"/>
    <hyperlink ref="H6" r:id="rId2" display="datasheet"/>
    <hyperlink ref="H7" r:id="rId3" display="datasheet"/>
    <hyperlink ref="H8" r:id="rId4" display="datasheet"/>
    <hyperlink ref="H9" r:id="rId5" display="datasheet"/>
    <hyperlink ref="H10" r:id="rId6" display="datasheet"/>
    <hyperlink ref="H11" r:id="rId7" display="datasheet"/>
    <hyperlink ref="H12" r:id="rId8" display="datasheet"/>
    <hyperlink ref="H13" r:id="rId9" display="datasheet"/>
    <hyperlink ref="H14" r:id="rId10" display="datasheet"/>
    <hyperlink ref="H15" r:id="rId11" display="datasheet"/>
    <hyperlink ref="H16" r:id="rId12" display="datasheet"/>
    <hyperlink ref="H17" r:id="rId13" display="datasheet"/>
    <hyperlink ref="H18" r:id="rId14" display="datasheet"/>
    <hyperlink ref="H19" r:id="rId15" display="datasheet"/>
    <hyperlink ref="H20" r:id="rId16" display="datasheet"/>
    <hyperlink ref="H21" r:id="rId17" display="datasheet"/>
    <hyperlink ref="H22" r:id="rId18" display="datasheet"/>
    <hyperlink ref="H23" r:id="rId19" display="datasheet"/>
    <hyperlink ref="H24" r:id="rId20" display="datasheet"/>
    <hyperlink ref="H25" r:id="rId21" display="datasheet"/>
    <hyperlink ref="H26" r:id="rId22" display="datasheet"/>
    <hyperlink ref="H27" r:id="rId23" display="datasheet"/>
    <hyperlink ref="H28" r:id="rId24" display="datasheet"/>
    <hyperlink ref="H29" r:id="rId25" display="datasheet"/>
    <hyperlink ref="H30" r:id="rId26" display="datasheet"/>
    <hyperlink ref="H31" r:id="rId27" display="datasheet"/>
    <hyperlink ref="H32" r:id="rId28" display="datasheet"/>
    <hyperlink ref="H33" r:id="rId29" display="datasheet"/>
    <hyperlink ref="H34" r:id="rId30" display="datasheet"/>
    <hyperlink ref="H35" r:id="rId31" display="datasheet"/>
    <hyperlink ref="H36" r:id="rId32" display="datasheet"/>
    <hyperlink ref="H37" r:id="rId33" display="datasheet"/>
    <hyperlink ref="H38" r:id="rId34" display="datasheet"/>
    <hyperlink ref="H39" r:id="rId35" display="datasheet"/>
    <hyperlink ref="H40" r:id="rId36" display="datasheet"/>
    <hyperlink ref="H41" r:id="rId37" display="datasheet"/>
    <hyperlink ref="H42" r:id="rId38" display="datasheet"/>
    <hyperlink ref="H43" r:id="rId39" display="datashee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5" min="4" style="0" width="11"/>
    <col collapsed="false" customWidth="true" hidden="false" outlineLevel="0" max="7" min="6" style="0" width="14"/>
    <col collapsed="false" customWidth="true" hidden="false" outlineLevel="0" max="9" min="8" style="0" width="13"/>
    <col collapsed="false" customWidth="true" hidden="false" outlineLevel="0" max="10" min="10" style="0" width="15"/>
    <col collapsed="false" customWidth="true" hidden="false" outlineLevel="0" max="11" min="11" style="0" width="92"/>
    <col collapsed="false" customWidth="true" hidden="false" outlineLevel="0" max="12" min="12" style="0" width="11"/>
  </cols>
  <sheetData>
    <row r="1" customFormat="false" ht="19.5" hidden="false" customHeight="true" outlineLevel="0" collapsed="false">
      <c r="A1" s="6" t="s">
        <v>778</v>
      </c>
    </row>
    <row r="2" customFormat="false" ht="15" hidden="false" customHeight="false" outlineLevel="0" collapsed="false">
      <c r="A2" s="2" t="s">
        <v>779</v>
      </c>
    </row>
    <row r="3" customFormat="false" ht="15" hidden="false" customHeight="false" outlineLevel="0" collapsed="false">
      <c r="A3" s="11" t="s">
        <v>429</v>
      </c>
    </row>
    <row r="4" customFormat="false" ht="33.75" hidden="false" customHeight="true" outlineLevel="0" collapsed="false">
      <c r="A4" s="7" t="s">
        <v>780</v>
      </c>
      <c r="B4" s="7" t="s">
        <v>781</v>
      </c>
      <c r="C4" s="7" t="s">
        <v>782</v>
      </c>
      <c r="D4" s="7" t="s">
        <v>783</v>
      </c>
      <c r="E4" s="7" t="s">
        <v>784</v>
      </c>
      <c r="F4" s="7" t="s">
        <v>785</v>
      </c>
      <c r="G4" s="7" t="s">
        <v>786</v>
      </c>
      <c r="H4" s="7" t="s">
        <v>787</v>
      </c>
      <c r="I4" s="7" t="s">
        <v>788</v>
      </c>
      <c r="J4" s="7" t="s">
        <v>789</v>
      </c>
      <c r="K4" s="7" t="s">
        <v>790</v>
      </c>
      <c r="L4" s="7" t="s">
        <v>87</v>
      </c>
    </row>
    <row r="5" customFormat="false" ht="24" hidden="false" customHeight="true" outlineLevel="0" collapsed="false">
      <c r="A5" s="8" t="n">
        <v>18</v>
      </c>
      <c r="B5" s="8" t="n">
        <v>1.0237</v>
      </c>
      <c r="C5" s="16" t="n">
        <v>0.823047</v>
      </c>
      <c r="D5" s="17" t="n">
        <v>0.02095</v>
      </c>
      <c r="E5" s="17" t="n">
        <v>0.02753</v>
      </c>
      <c r="F5" s="8"/>
      <c r="G5" s="8"/>
      <c r="H5" s="8"/>
      <c r="I5" s="8"/>
      <c r="J5" s="13" t="str">
        <f aca="false">IF(ISNUMBER(G5),ROUND(0.75*100/(PI()/4*G5^2),0),"")</f>
        <v/>
      </c>
      <c r="K5" s="10" t="s">
        <v>791</v>
      </c>
      <c r="L5" s="9" t="s">
        <v>96</v>
      </c>
    </row>
    <row r="6" customFormat="false" ht="24" hidden="false" customHeight="true" outlineLevel="0" collapsed="false">
      <c r="A6" s="8" t="n">
        <v>19</v>
      </c>
      <c r="B6" s="8" t="n">
        <v>0.9116</v>
      </c>
      <c r="C6" s="16" t="n">
        <v>0.652706</v>
      </c>
      <c r="D6" s="17" t="n">
        <v>0.02641</v>
      </c>
      <c r="E6" s="17" t="n">
        <v>0.03472</v>
      </c>
      <c r="F6" s="8"/>
      <c r="G6" s="8"/>
      <c r="H6" s="8" t="n">
        <v>0.95</v>
      </c>
      <c r="I6" s="8" t="n">
        <v>1.18</v>
      </c>
      <c r="J6" s="13" t="str">
        <f aca="false">IF(ISNUMBER(G6),ROUND(0.75*100/(PI()/4*G6^2),0),"")</f>
        <v/>
      </c>
      <c r="K6" s="10" t="s">
        <v>791</v>
      </c>
      <c r="L6" s="9" t="s">
        <v>96</v>
      </c>
    </row>
    <row r="7" customFormat="false" ht="24" hidden="false" customHeight="true" outlineLevel="0" collapsed="false">
      <c r="A7" s="8" t="n">
        <v>20</v>
      </c>
      <c r="B7" s="8" t="n">
        <v>0.8118</v>
      </c>
      <c r="C7" s="16" t="n">
        <v>0.517619</v>
      </c>
      <c r="D7" s="17" t="n">
        <v>0.03331</v>
      </c>
      <c r="E7" s="17" t="n">
        <v>0.04378</v>
      </c>
      <c r="F7" s="8"/>
      <c r="G7" s="8"/>
      <c r="H7" s="8" t="n">
        <v>0.85</v>
      </c>
      <c r="I7" s="8" t="n">
        <v>1.08</v>
      </c>
      <c r="J7" s="13" t="str">
        <f aca="false">IF(ISNUMBER(G7),ROUND(0.75*100/(PI()/4*G7^2),0),"")</f>
        <v/>
      </c>
      <c r="K7" s="10" t="s">
        <v>791</v>
      </c>
      <c r="L7" s="9" t="s">
        <v>96</v>
      </c>
    </row>
    <row r="8" customFormat="false" ht="24" hidden="false" customHeight="true" outlineLevel="0" collapsed="false">
      <c r="A8" s="8" t="n">
        <v>21</v>
      </c>
      <c r="B8" s="8" t="n">
        <v>0.7229</v>
      </c>
      <c r="C8" s="16" t="n">
        <v>0.410491</v>
      </c>
      <c r="D8" s="17" t="n">
        <v>0.042</v>
      </c>
      <c r="E8" s="17" t="n">
        <v>0.05521</v>
      </c>
      <c r="F8" s="8"/>
      <c r="G8" s="8"/>
      <c r="H8" s="8" t="n">
        <v>0.75</v>
      </c>
      <c r="I8" s="8" t="n">
        <v>0.975</v>
      </c>
      <c r="J8" s="13" t="str">
        <f aca="false">IF(ISNUMBER(G8),ROUND(0.75*100/(PI()/4*G8^2),0),"")</f>
        <v/>
      </c>
      <c r="K8" s="10" t="s">
        <v>791</v>
      </c>
      <c r="L8" s="9" t="s">
        <v>96</v>
      </c>
    </row>
    <row r="9" customFormat="false" ht="24" hidden="false" customHeight="true" outlineLevel="0" collapsed="false">
      <c r="A9" s="8" t="n">
        <v>22</v>
      </c>
      <c r="B9" s="8" t="n">
        <v>0.6438</v>
      </c>
      <c r="C9" s="16" t="n">
        <v>0.325534</v>
      </c>
      <c r="D9" s="17" t="n">
        <v>0.05296</v>
      </c>
      <c r="E9" s="17" t="n">
        <v>0.06961</v>
      </c>
      <c r="F9" s="8"/>
      <c r="G9" s="8"/>
      <c r="H9" s="8" t="n">
        <v>0.65</v>
      </c>
      <c r="I9" s="8" t="n">
        <v>0.875</v>
      </c>
      <c r="J9" s="13" t="str">
        <f aca="false">IF(ISNUMBER(G9),ROUND(0.75*100/(PI()/4*G9^2),0),"")</f>
        <v/>
      </c>
      <c r="K9" s="10" t="s">
        <v>791</v>
      </c>
      <c r="L9" s="9" t="s">
        <v>96</v>
      </c>
    </row>
    <row r="10" customFormat="false" ht="24" hidden="false" customHeight="true" outlineLevel="0" collapsed="false">
      <c r="A10" s="8" t="n">
        <v>23</v>
      </c>
      <c r="B10" s="8" t="n">
        <v>0.5733</v>
      </c>
      <c r="C10" s="16" t="n">
        <v>0.25816</v>
      </c>
      <c r="D10" s="17" t="n">
        <v>0.06678</v>
      </c>
      <c r="E10" s="17" t="n">
        <v>0.08778</v>
      </c>
      <c r="F10" s="8"/>
      <c r="G10" s="8"/>
      <c r="H10" s="8" t="n">
        <v>0.6</v>
      </c>
      <c r="I10" s="8" t="n">
        <v>0.825</v>
      </c>
      <c r="J10" s="13" t="str">
        <f aca="false">IF(ISNUMBER(G10),ROUND(0.75*100/(PI()/4*G10^2),0),"")</f>
        <v/>
      </c>
      <c r="K10" s="10" t="s">
        <v>791</v>
      </c>
      <c r="L10" s="9" t="s">
        <v>96</v>
      </c>
    </row>
    <row r="11" customFormat="false" ht="24" hidden="false" customHeight="true" outlineLevel="0" collapsed="false">
      <c r="A11" s="8" t="n">
        <v>24</v>
      </c>
      <c r="B11" s="8" t="n">
        <v>0.511</v>
      </c>
      <c r="C11" s="16" t="n">
        <v>0.204666</v>
      </c>
      <c r="D11" s="17" t="n">
        <v>0.0838</v>
      </c>
      <c r="E11" s="17" t="n">
        <v>0.11015</v>
      </c>
      <c r="F11" s="8" t="n">
        <v>0.551</v>
      </c>
      <c r="G11" s="8" t="n">
        <v>0.577</v>
      </c>
      <c r="H11" s="8" t="n">
        <v>0.55</v>
      </c>
      <c r="I11" s="8" t="n">
        <v>0.775</v>
      </c>
      <c r="J11" s="13" t="n">
        <f aca="false">IF(ISNUMBER(G11),ROUND(0.75*100/(PI()/4*G11^2),0),"")</f>
        <v>287</v>
      </c>
      <c r="K11" s="10" t="s">
        <v>792</v>
      </c>
      <c r="L11" s="9" t="s">
        <v>96</v>
      </c>
    </row>
    <row r="12" customFormat="false" ht="24" hidden="false" customHeight="true" outlineLevel="0" collapsed="false">
      <c r="A12" s="8" t="n">
        <v>25</v>
      </c>
      <c r="B12" s="8" t="n">
        <v>0.455</v>
      </c>
      <c r="C12" s="16" t="n">
        <v>0.162112</v>
      </c>
      <c r="D12" s="17" t="n">
        <v>0.1058</v>
      </c>
      <c r="E12" s="17" t="n">
        <v>0.13906</v>
      </c>
      <c r="F12" s="8" t="n">
        <v>0.493</v>
      </c>
      <c r="G12" s="8" t="n">
        <v>0.516</v>
      </c>
      <c r="H12" s="8" t="n">
        <v>0.5</v>
      </c>
      <c r="I12" s="8" t="n">
        <v>0.725</v>
      </c>
      <c r="J12" s="13" t="n">
        <f aca="false">IF(ISNUMBER(G12),ROUND(0.75*100/(PI()/4*G12^2),0),"")</f>
        <v>359</v>
      </c>
      <c r="K12" s="10" t="s">
        <v>792</v>
      </c>
      <c r="L12" s="9" t="s">
        <v>96</v>
      </c>
    </row>
    <row r="13" customFormat="false" ht="24" hidden="false" customHeight="true" outlineLevel="0" collapsed="false">
      <c r="A13" s="8" t="n">
        <v>26</v>
      </c>
      <c r="B13" s="8" t="n">
        <v>0.404</v>
      </c>
      <c r="C13" s="16" t="n">
        <v>0.128169</v>
      </c>
      <c r="D13" s="17" t="n">
        <v>0.1342</v>
      </c>
      <c r="E13" s="17" t="n">
        <v>0.17639</v>
      </c>
      <c r="F13" s="8" t="n">
        <v>0.439</v>
      </c>
      <c r="G13" s="8" t="n">
        <v>0.462</v>
      </c>
      <c r="H13" s="8" t="n">
        <v>0.45</v>
      </c>
      <c r="I13" s="8" t="n">
        <v>0.675</v>
      </c>
      <c r="J13" s="13" t="n">
        <f aca="false">IF(ISNUMBER(G13),ROUND(0.75*100/(PI()/4*G13^2),0),"")</f>
        <v>447</v>
      </c>
      <c r="K13" s="10" t="s">
        <v>792</v>
      </c>
      <c r="L13" s="9" t="s">
        <v>96</v>
      </c>
    </row>
    <row r="14" customFormat="false" ht="24" hidden="false" customHeight="true" outlineLevel="0" collapsed="false">
      <c r="A14" s="8" t="n">
        <v>27</v>
      </c>
      <c r="B14" s="8" t="n">
        <v>0.361</v>
      </c>
      <c r="C14" s="16" t="n">
        <v>0.102333</v>
      </c>
      <c r="D14" s="17" t="n">
        <v>0.1671</v>
      </c>
      <c r="E14" s="17" t="n">
        <v>0.21964</v>
      </c>
      <c r="F14" s="8" t="n">
        <v>0.396</v>
      </c>
      <c r="G14" s="8" t="n">
        <v>0.417</v>
      </c>
      <c r="H14" s="8" t="n">
        <v>0.37</v>
      </c>
      <c r="I14" s="8" t="n">
        <v>0.59</v>
      </c>
      <c r="J14" s="13" t="n">
        <f aca="false">IF(ISNUMBER(G14),ROUND(0.75*100/(PI()/4*G14^2),0),"")</f>
        <v>549</v>
      </c>
      <c r="K14" s="10" t="s">
        <v>792</v>
      </c>
      <c r="L14" s="9" t="s">
        <v>96</v>
      </c>
    </row>
    <row r="15" customFormat="false" ht="24" hidden="false" customHeight="true" outlineLevel="0" collapsed="false">
      <c r="A15" s="8" t="n">
        <v>28</v>
      </c>
      <c r="B15" s="8" t="n">
        <v>0.32</v>
      </c>
      <c r="C15" s="16" t="n">
        <v>0.080549</v>
      </c>
      <c r="D15" s="17" t="n">
        <v>0.2123</v>
      </c>
      <c r="E15" s="17" t="n">
        <v>0.27905</v>
      </c>
      <c r="F15" s="8" t="n">
        <v>0.356</v>
      </c>
      <c r="G15" s="8" t="n">
        <v>0.373</v>
      </c>
      <c r="H15" s="8" t="n">
        <v>0.32</v>
      </c>
      <c r="I15" s="8" t="n">
        <v>0.54</v>
      </c>
      <c r="J15" s="13" t="n">
        <f aca="false">IF(ISNUMBER(G15),ROUND(0.75*100/(PI()/4*G15^2),0),"")</f>
        <v>686</v>
      </c>
      <c r="K15" s="10" t="s">
        <v>792</v>
      </c>
      <c r="L15" s="9" t="s">
        <v>96</v>
      </c>
    </row>
    <row r="16" customFormat="false" ht="24" hidden="false" customHeight="true" outlineLevel="0" collapsed="false">
      <c r="A16" s="8" t="n">
        <v>29</v>
      </c>
      <c r="B16" s="8" t="n">
        <v>0.287</v>
      </c>
      <c r="C16" s="16" t="n">
        <v>0.064844</v>
      </c>
      <c r="D16" s="17" t="n">
        <v>0.264</v>
      </c>
      <c r="E16" s="17" t="n">
        <v>0.347</v>
      </c>
      <c r="F16" s="8" t="n">
        <v>0.32</v>
      </c>
      <c r="G16" s="8" t="n">
        <v>0.338</v>
      </c>
      <c r="H16" s="8" t="n">
        <v>0.29</v>
      </c>
      <c r="I16" s="8" t="n">
        <v>0.507</v>
      </c>
      <c r="J16" s="13" t="n">
        <f aca="false">IF(ISNUMBER(G16),ROUND(0.75*100/(PI()/4*G16^2),0),"")</f>
        <v>836</v>
      </c>
      <c r="K16" s="10" t="s">
        <v>792</v>
      </c>
      <c r="L16" s="9" t="s">
        <v>96</v>
      </c>
    </row>
    <row r="17" customFormat="false" ht="24" hidden="false" customHeight="true" outlineLevel="0" collapsed="false">
      <c r="A17" s="8" t="n">
        <v>30</v>
      </c>
      <c r="B17" s="8" t="n">
        <v>0.254</v>
      </c>
      <c r="C17" s="16" t="n">
        <v>0.05066</v>
      </c>
      <c r="D17" s="17" t="n">
        <v>0.3371</v>
      </c>
      <c r="E17" s="17" t="n">
        <v>0.44308</v>
      </c>
      <c r="F17" s="8" t="n">
        <v>0.284</v>
      </c>
      <c r="G17" s="8" t="n">
        <v>0.302</v>
      </c>
      <c r="H17" s="8" t="n">
        <v>0.26</v>
      </c>
      <c r="I17" s="8" t="n">
        <v>0.477</v>
      </c>
      <c r="J17" s="13" t="n">
        <f aca="false">IF(ISNUMBER(G17),ROUND(0.75*100/(PI()/4*G17^2),0),"")</f>
        <v>1047</v>
      </c>
      <c r="K17" s="10" t="s">
        <v>792</v>
      </c>
      <c r="L17" s="9" t="s">
        <v>96</v>
      </c>
    </row>
    <row r="18" customFormat="false" ht="24" hidden="false" customHeight="true" outlineLevel="0" collapsed="false">
      <c r="A18" s="8" t="n">
        <v>31</v>
      </c>
      <c r="B18" s="8" t="n">
        <v>0.226</v>
      </c>
      <c r="C18" s="16" t="n">
        <v>0.040128</v>
      </c>
      <c r="D18" s="17" t="n">
        <v>0.4256</v>
      </c>
      <c r="E18" s="17" t="n">
        <v>0.55941</v>
      </c>
      <c r="F18" s="8" t="n">
        <v>0.254</v>
      </c>
      <c r="G18" s="8" t="n">
        <v>0.274</v>
      </c>
      <c r="H18" s="8" t="n">
        <v>0.23</v>
      </c>
      <c r="I18" s="8" t="n">
        <v>0.447</v>
      </c>
      <c r="J18" s="13" t="n">
        <f aca="false">IF(ISNUMBER(G18),ROUND(0.75*100/(PI()/4*G18^2),0),"")</f>
        <v>1272</v>
      </c>
      <c r="K18" s="10" t="s">
        <v>792</v>
      </c>
      <c r="L18" s="9" t="s">
        <v>96</v>
      </c>
    </row>
    <row r="19" customFormat="false" ht="24" hidden="false" customHeight="true" outlineLevel="0" collapsed="false">
      <c r="A19" s="8" t="n">
        <v>32</v>
      </c>
      <c r="B19" s="8" t="n">
        <v>0.203</v>
      </c>
      <c r="C19" s="16" t="n">
        <v>0.032422</v>
      </c>
      <c r="D19" s="17" t="n">
        <v>0.5268</v>
      </c>
      <c r="E19" s="17" t="n">
        <v>0.69243</v>
      </c>
      <c r="F19" s="8" t="n">
        <v>0.231</v>
      </c>
      <c r="G19" s="8" t="n">
        <v>0.249</v>
      </c>
      <c r="H19" s="8" t="n">
        <v>0.21</v>
      </c>
      <c r="I19" s="8" t="n">
        <v>0.427</v>
      </c>
      <c r="J19" s="13" t="n">
        <f aca="false">IF(ISNUMBER(G19),ROUND(0.75*100/(PI()/4*G19^2),0),"")</f>
        <v>1540</v>
      </c>
      <c r="K19" s="10" t="s">
        <v>792</v>
      </c>
      <c r="L19" s="9" t="s">
        <v>96</v>
      </c>
    </row>
    <row r="20" customFormat="false" ht="24" hidden="false" customHeight="true" outlineLevel="0" collapsed="false">
      <c r="A20" s="8" t="n">
        <v>33</v>
      </c>
      <c r="B20" s="8" t="n">
        <v>0.18</v>
      </c>
      <c r="C20" s="16" t="n">
        <v>0.025538</v>
      </c>
      <c r="D20" s="17" t="n">
        <v>0.6689</v>
      </c>
      <c r="E20" s="17" t="n">
        <v>0.8792</v>
      </c>
      <c r="F20" s="8" t="n">
        <v>0.206</v>
      </c>
      <c r="G20" s="8" t="n">
        <v>0.224</v>
      </c>
      <c r="H20" s="8" t="n">
        <v>0.2</v>
      </c>
      <c r="I20" s="8" t="n">
        <v>0.417</v>
      </c>
      <c r="J20" s="13" t="n">
        <f aca="false">IF(ISNUMBER(G20),ROUND(0.75*100/(PI()/4*G20^2),0),"")</f>
        <v>1903</v>
      </c>
      <c r="K20" s="10" t="s">
        <v>792</v>
      </c>
      <c r="L20" s="9" t="s">
        <v>96</v>
      </c>
    </row>
    <row r="21" customFormat="false" ht="24" hidden="false" customHeight="true" outlineLevel="0" collapsed="false">
      <c r="A21" s="8" t="n">
        <v>34</v>
      </c>
      <c r="B21" s="8" t="n">
        <v>0.16</v>
      </c>
      <c r="C21" s="16" t="n">
        <v>0.020107</v>
      </c>
      <c r="D21" s="17" t="n">
        <v>0.8498</v>
      </c>
      <c r="E21" s="17" t="n">
        <v>1.11698</v>
      </c>
      <c r="F21" s="8" t="n">
        <v>0.183</v>
      </c>
      <c r="G21" s="8" t="n">
        <v>0.198</v>
      </c>
      <c r="H21" s="8"/>
      <c r="I21" s="8"/>
      <c r="J21" s="13" t="n">
        <f aca="false">IF(ISNUMBER(G21),ROUND(0.75*100/(PI()/4*G21^2),0),"")</f>
        <v>2436</v>
      </c>
      <c r="K21" s="10" t="s">
        <v>792</v>
      </c>
      <c r="L21" s="9" t="s">
        <v>96</v>
      </c>
    </row>
    <row r="22" customFormat="false" ht="24" hidden="false" customHeight="true" outlineLevel="0" collapsed="false">
      <c r="A22" s="8" t="n">
        <v>35</v>
      </c>
      <c r="B22" s="8" t="n">
        <v>0.142</v>
      </c>
      <c r="C22" s="16" t="n">
        <v>0.015887</v>
      </c>
      <c r="D22" s="17" t="n">
        <v>1.076</v>
      </c>
      <c r="E22" s="17" t="n">
        <v>1.41429</v>
      </c>
      <c r="F22" s="8" t="n">
        <v>0.163</v>
      </c>
      <c r="G22" s="8" t="n">
        <v>0.178</v>
      </c>
      <c r="H22" s="8"/>
      <c r="I22" s="8"/>
      <c r="J22" s="13" t="n">
        <f aca="false">IF(ISNUMBER(G22),ROUND(0.75*100/(PI()/4*G22^2),0),"")</f>
        <v>3014</v>
      </c>
      <c r="K22" s="10" t="s">
        <v>792</v>
      </c>
      <c r="L22" s="9" t="s">
        <v>96</v>
      </c>
    </row>
    <row r="23" customFormat="false" ht="24" hidden="false" customHeight="true" outlineLevel="0" collapsed="false">
      <c r="A23" s="8" t="n">
        <v>36</v>
      </c>
      <c r="B23" s="8" t="n">
        <v>0.127</v>
      </c>
      <c r="C23" s="16" t="n">
        <v>0.012665</v>
      </c>
      <c r="D23" s="17" t="n">
        <v>1.35</v>
      </c>
      <c r="E23" s="17" t="n">
        <v>1.77444</v>
      </c>
      <c r="F23" s="8" t="n">
        <v>0.147</v>
      </c>
      <c r="G23" s="8" t="n">
        <v>0.16</v>
      </c>
      <c r="H23" s="8"/>
      <c r="I23" s="8"/>
      <c r="J23" s="13" t="n">
        <f aca="false">IF(ISNUMBER(G23),ROUND(0.75*100/(PI()/4*G23^2),0),"")</f>
        <v>3730</v>
      </c>
      <c r="K23" s="10" t="s">
        <v>792</v>
      </c>
      <c r="L23" s="9" t="s">
        <v>96</v>
      </c>
    </row>
    <row r="24" customFormat="false" ht="24" hidden="false" customHeight="true" outlineLevel="0" collapsed="false">
      <c r="A24" s="8" t="n">
        <v>37</v>
      </c>
      <c r="B24" s="8" t="n">
        <v>0.114</v>
      </c>
      <c r="C24" s="16" t="n">
        <v>0.010259</v>
      </c>
      <c r="D24" s="17" t="n">
        <v>1.667</v>
      </c>
      <c r="E24" s="17" t="n">
        <v>2.1911</v>
      </c>
      <c r="F24" s="8" t="n">
        <v>0.132</v>
      </c>
      <c r="G24" s="8" t="n">
        <v>0.145</v>
      </c>
      <c r="H24" s="8"/>
      <c r="I24" s="8"/>
      <c r="J24" s="13" t="n">
        <f aca="false">IF(ISNUMBER(G24),ROUND(0.75*100/(PI()/4*G24^2),0),"")</f>
        <v>4542</v>
      </c>
      <c r="K24" s="10" t="s">
        <v>792</v>
      </c>
      <c r="L24" s="9" t="s">
        <v>96</v>
      </c>
    </row>
    <row r="25" customFormat="false" ht="24" hidden="false" customHeight="true" outlineLevel="0" collapsed="false">
      <c r="A25" s="8" t="n">
        <v>38</v>
      </c>
      <c r="B25" s="8" t="n">
        <v>0.102</v>
      </c>
      <c r="C25" s="16" t="n">
        <v>0.008105</v>
      </c>
      <c r="D25" s="17" t="n">
        <v>2.111</v>
      </c>
      <c r="E25" s="17" t="n">
        <v>2.7747</v>
      </c>
      <c r="F25" s="8" t="n">
        <v>0.119</v>
      </c>
      <c r="G25" s="8" t="n">
        <v>0.13</v>
      </c>
      <c r="H25" s="8"/>
      <c r="I25" s="8"/>
      <c r="J25" s="13" t="n">
        <f aca="false">IF(ISNUMBER(G25),ROUND(0.75*100/(PI()/4*G25^2),0),"")</f>
        <v>5650</v>
      </c>
      <c r="K25" s="10" t="s">
        <v>792</v>
      </c>
      <c r="L25" s="9" t="s">
        <v>96</v>
      </c>
    </row>
    <row r="26" customFormat="false" ht="24" hidden="false" customHeight="true" outlineLevel="0" collapsed="false">
      <c r="A26" s="8" t="n">
        <v>39</v>
      </c>
      <c r="B26" s="8" t="n">
        <v>0.089</v>
      </c>
      <c r="C26" s="16" t="n">
        <v>0.006205</v>
      </c>
      <c r="D26" s="17" t="n">
        <v>2.759</v>
      </c>
      <c r="E26" s="17" t="n">
        <v>3.62643</v>
      </c>
      <c r="F26" s="8" t="n">
        <v>0.104</v>
      </c>
      <c r="G26" s="8" t="n">
        <v>0.114</v>
      </c>
      <c r="H26" s="8"/>
      <c r="I26" s="8"/>
      <c r="J26" s="13" t="n">
        <f aca="false">IF(ISNUMBER(G26),ROUND(0.75*100/(PI()/4*G26^2),0),"")</f>
        <v>7348</v>
      </c>
      <c r="K26" s="10" t="s">
        <v>792</v>
      </c>
      <c r="L26" s="9" t="s">
        <v>96</v>
      </c>
    </row>
    <row r="27" customFormat="false" ht="24" hidden="false" customHeight="true" outlineLevel="0" collapsed="false">
      <c r="A27" s="8" t="n">
        <v>40</v>
      </c>
      <c r="B27" s="8" t="n">
        <v>0.079</v>
      </c>
      <c r="C27" s="16" t="n">
        <v>0.004868</v>
      </c>
      <c r="D27" s="17" t="n">
        <v>3.519</v>
      </c>
      <c r="E27" s="17" t="n">
        <v>4.62537</v>
      </c>
      <c r="F27" s="8" t="n">
        <v>0.094</v>
      </c>
      <c r="G27" s="8" t="n">
        <v>0.102</v>
      </c>
      <c r="H27" s="8"/>
      <c r="I27" s="8"/>
      <c r="J27" s="13" t="n">
        <f aca="false">IF(ISNUMBER(G27),ROUND(0.75*100/(PI()/4*G27^2),0),"")</f>
        <v>9178</v>
      </c>
      <c r="K27" s="10" t="s">
        <v>792</v>
      </c>
      <c r="L27" s="9" t="s">
        <v>96</v>
      </c>
    </row>
    <row r="28" customFormat="false" ht="24" hidden="false" customHeight="true" outlineLevel="0" collapsed="false">
      <c r="A28" s="8" t="n">
        <v>41</v>
      </c>
      <c r="B28" s="8" t="n">
        <v>0.071</v>
      </c>
      <c r="C28" s="16" t="n">
        <v>0.003972</v>
      </c>
      <c r="D28" s="17" t="n">
        <v>4.317</v>
      </c>
      <c r="E28" s="17" t="n">
        <v>5.67426</v>
      </c>
      <c r="F28" s="8" t="n">
        <v>0.084</v>
      </c>
      <c r="G28" s="8" t="n">
        <v>0.091</v>
      </c>
      <c r="H28" s="8"/>
      <c r="I28" s="8"/>
      <c r="J28" s="13" t="n">
        <f aca="false">IF(ISNUMBER(G28),ROUND(0.75*100/(PI()/4*G28^2),0),"")</f>
        <v>11532</v>
      </c>
      <c r="K28" s="10" t="s">
        <v>792</v>
      </c>
      <c r="L28" s="9" t="s">
        <v>96</v>
      </c>
    </row>
    <row r="29" customFormat="false" ht="24" hidden="false" customHeight="true" outlineLevel="0" collapsed="false">
      <c r="A29" s="8" t="n">
        <v>42</v>
      </c>
      <c r="B29" s="8" t="n">
        <v>0.064</v>
      </c>
      <c r="C29" s="16" t="n">
        <v>0.003166</v>
      </c>
      <c r="D29" s="17" t="n">
        <v>5.421</v>
      </c>
      <c r="E29" s="17" t="n">
        <v>7.12536</v>
      </c>
      <c r="F29" s="8" t="n">
        <v>0.076</v>
      </c>
      <c r="G29" s="8" t="n">
        <v>0.081</v>
      </c>
      <c r="H29" s="8"/>
      <c r="I29" s="8"/>
      <c r="J29" s="13" t="n">
        <f aca="false">IF(ISNUMBER(G29),ROUND(0.75*100/(PI()/4*G29^2),0),"")</f>
        <v>14555</v>
      </c>
      <c r="K29" s="10" t="s">
        <v>792</v>
      </c>
      <c r="L29" s="9" t="s">
        <v>96</v>
      </c>
    </row>
    <row r="30" customFormat="false" ht="24" hidden="false" customHeight="true" outlineLevel="0" collapsed="false">
      <c r="A30" s="8" t="n">
        <v>43</v>
      </c>
      <c r="B30" s="8" t="n">
        <v>0.056</v>
      </c>
      <c r="C30" s="16" t="n">
        <v>0.002452</v>
      </c>
      <c r="D30" s="17" t="n">
        <v>7.011</v>
      </c>
      <c r="E30" s="17" t="n">
        <v>9.21526</v>
      </c>
      <c r="F30" s="8" t="n">
        <v>0.066</v>
      </c>
      <c r="G30" s="8" t="n">
        <v>0.074</v>
      </c>
      <c r="H30" s="8"/>
      <c r="I30" s="8"/>
      <c r="J30" s="13" t="n">
        <f aca="false">IF(ISNUMBER(G30),ROUND(0.75*100/(PI()/4*G30^2),0),"")</f>
        <v>17438</v>
      </c>
      <c r="K30" s="10" t="s">
        <v>792</v>
      </c>
      <c r="L30" s="9" t="s">
        <v>96</v>
      </c>
    </row>
    <row r="31" customFormat="false" ht="24" hidden="false" customHeight="true" outlineLevel="0" collapsed="false">
      <c r="A31" s="8" t="n">
        <v>44</v>
      </c>
      <c r="B31" s="8" t="n">
        <v>0.051</v>
      </c>
      <c r="C31" s="16" t="n">
        <v>0.002026</v>
      </c>
      <c r="D31" s="17" t="n">
        <v>8.495</v>
      </c>
      <c r="E31" s="17" t="n">
        <v>11.16583</v>
      </c>
      <c r="F31" s="8" t="n">
        <v>0.061</v>
      </c>
      <c r="G31" s="8" t="n">
        <v>0.069</v>
      </c>
      <c r="H31" s="8"/>
      <c r="I31" s="8"/>
      <c r="J31" s="13" t="n">
        <f aca="false">IF(ISNUMBER(G31),ROUND(0.75*100/(PI()/4*G31^2),0),"")</f>
        <v>20057</v>
      </c>
      <c r="K31" s="10" t="s">
        <v>792</v>
      </c>
      <c r="L31" s="9" t="s">
        <v>96</v>
      </c>
    </row>
    <row r="33" customFormat="false" ht="15" hidden="false" customHeight="false" outlineLevel="0" collapsed="false">
      <c r="A33" s="2" t="s">
        <v>793</v>
      </c>
    </row>
    <row r="34" customFormat="false" ht="15" hidden="false" customHeight="false" outlineLevel="0" collapsed="false">
      <c r="A34" s="2" t="s">
        <v>794</v>
      </c>
    </row>
    <row r="35" customFormat="false" ht="15" hidden="false" customHeight="false" outlineLevel="0" collapsed="false">
      <c r="A35" s="2" t="s">
        <v>795</v>
      </c>
    </row>
    <row r="36" customFormat="false" ht="15" hidden="false" customHeight="false" outlineLevel="0" collapsed="false">
      <c r="A36" s="2" t="s">
        <v>796</v>
      </c>
    </row>
    <row r="37" customFormat="false" ht="15" hidden="false" customHeight="false" outlineLevel="0" collapsed="false">
      <c r="A37" s="2" t="s">
        <v>797</v>
      </c>
    </row>
    <row r="38" customFormat="false" ht="15" hidden="false" customHeight="false" outlineLevel="0" collapsed="false">
      <c r="A38" s="2" t="s">
        <v>798</v>
      </c>
    </row>
    <row r="39" customFormat="false" ht="15" hidden="false" customHeight="false" outlineLevel="0" collapsed="false">
      <c r="A39" s="2" t="s">
        <v>799</v>
      </c>
    </row>
    <row r="40" customFormat="false" ht="15" hidden="false" customHeight="false" outlineLevel="0" collapsed="false">
      <c r="A40" s="2" t="s">
        <v>800</v>
      </c>
    </row>
  </sheetData>
  <autoFilter ref="A4:L31"/>
  <hyperlinks>
    <hyperlink ref="L5" r:id="rId1" display="datasheet"/>
    <hyperlink ref="L6" r:id="rId2" display="datasheet"/>
    <hyperlink ref="L7" r:id="rId3" display="datasheet"/>
    <hyperlink ref="L8" r:id="rId4" display="datasheet"/>
    <hyperlink ref="L9" r:id="rId5" display="datasheet"/>
    <hyperlink ref="L10" r:id="rId6" display="datasheet"/>
    <hyperlink ref="L11" r:id="rId7" display="datasheet"/>
    <hyperlink ref="L12" r:id="rId8" display="datasheet"/>
    <hyperlink ref="L13" r:id="rId9" display="datasheet"/>
    <hyperlink ref="L14" r:id="rId10" display="datasheet"/>
    <hyperlink ref="L15" r:id="rId11" display="datasheet"/>
    <hyperlink ref="L16" r:id="rId12" display="datasheet"/>
    <hyperlink ref="L17" r:id="rId13" display="datasheet"/>
    <hyperlink ref="L18" r:id="rId14" display="datasheet"/>
    <hyperlink ref="L19" r:id="rId15" display="datasheet"/>
    <hyperlink ref="L20" r:id="rId16" display="datasheet"/>
    <hyperlink ref="L21" r:id="rId17" display="datasheet"/>
    <hyperlink ref="L22" r:id="rId18" display="datasheet"/>
    <hyperlink ref="L23" r:id="rId19" display="datasheet"/>
    <hyperlink ref="L24" r:id="rId20" display="datasheet"/>
    <hyperlink ref="L25" r:id="rId21" display="datasheet"/>
    <hyperlink ref="L26" r:id="rId22" display="datasheet"/>
    <hyperlink ref="L27" r:id="rId23" display="datasheet"/>
    <hyperlink ref="L28" r:id="rId24" display="datasheet"/>
    <hyperlink ref="L29" r:id="rId25" display="datasheet"/>
    <hyperlink ref="L30" r:id="rId26" display="datasheet"/>
    <hyperlink ref="L31" r:id="rId27" display="datashee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8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5" min="3" style="0" width="17"/>
    <col collapsed="false" customWidth="true" hidden="false" outlineLevel="0" max="6" min="6" style="0" width="11"/>
    <col collapsed="false" customWidth="true" hidden="false" outlineLevel="0" max="7" min="7" style="0" width="74"/>
  </cols>
  <sheetData>
    <row r="1" customFormat="false" ht="19.7" hidden="false" customHeight="false" outlineLevel="0" collapsed="false">
      <c r="A1" s="1" t="s">
        <v>801</v>
      </c>
    </row>
    <row r="2" customFormat="false" ht="25.5" hidden="false" customHeight="true" outlineLevel="0" collapsed="false">
      <c r="A2" s="18" t="s">
        <v>802</v>
      </c>
    </row>
    <row r="4" customFormat="false" ht="15" hidden="false" customHeight="false" outlineLevel="0" collapsed="false">
      <c r="A4" s="19" t="s">
        <v>803</v>
      </c>
      <c r="B4" s="19"/>
      <c r="C4" s="19"/>
      <c r="D4" s="19"/>
      <c r="E4" s="19"/>
      <c r="F4" s="19"/>
      <c r="G4" s="19"/>
    </row>
    <row r="5" customFormat="false" ht="22.35" hidden="false" customHeight="false" outlineLevel="0" collapsed="false">
      <c r="C5" s="20" t="s">
        <v>804</v>
      </c>
      <c r="D5" s="20" t="s">
        <v>805</v>
      </c>
      <c r="E5" s="20" t="s">
        <v>806</v>
      </c>
      <c r="F5" s="20" t="s">
        <v>807</v>
      </c>
      <c r="G5" s="20" t="s">
        <v>808</v>
      </c>
    </row>
    <row r="6" customFormat="false" ht="25.5" hidden="false" customHeight="true" outlineLevel="0" collapsed="false">
      <c r="B6" s="3" t="s">
        <v>809</v>
      </c>
      <c r="D6" s="21" t="n">
        <v>65</v>
      </c>
      <c r="E6" s="22" t="n">
        <f aca="false">IF(D6&lt;&gt;"",D6,C6)</f>
        <v>65</v>
      </c>
      <c r="F6" s="3" t="s">
        <v>259</v>
      </c>
      <c r="G6" s="23" t="s">
        <v>810</v>
      </c>
    </row>
    <row r="7" customFormat="false" ht="25.5" hidden="false" customHeight="true" outlineLevel="0" collapsed="false">
      <c r="B7" s="3" t="s">
        <v>811</v>
      </c>
      <c r="D7" s="24" t="n">
        <v>0.88</v>
      </c>
      <c r="E7" s="25" t="n">
        <f aca="false">IF(D7&lt;&gt;"",D7,C7)</f>
        <v>0.88</v>
      </c>
      <c r="F7" s="3" t="s">
        <v>370</v>
      </c>
      <c r="G7" s="23" t="s">
        <v>812</v>
      </c>
    </row>
    <row r="8" customFormat="false" ht="25.5" hidden="false" customHeight="true" outlineLevel="0" collapsed="false">
      <c r="B8" s="3" t="s">
        <v>813</v>
      </c>
      <c r="D8" s="26" t="n">
        <v>100</v>
      </c>
      <c r="E8" s="27" t="n">
        <f aca="false">IF(D8&lt;&gt;"",D8,C8)</f>
        <v>100</v>
      </c>
      <c r="F8" s="3" t="s">
        <v>814</v>
      </c>
      <c r="G8" s="23" t="s">
        <v>815</v>
      </c>
    </row>
    <row r="9" customFormat="false" ht="25.5" hidden="false" customHeight="true" outlineLevel="0" collapsed="false">
      <c r="B9" s="3" t="s">
        <v>816</v>
      </c>
      <c r="D9" s="24" t="n">
        <v>4</v>
      </c>
      <c r="E9" s="25" t="n">
        <f aca="false">IF(D9&lt;&gt;"",D9,C9)</f>
        <v>4</v>
      </c>
      <c r="F9" s="3" t="s">
        <v>370</v>
      </c>
      <c r="G9" s="23" t="s">
        <v>817</v>
      </c>
    </row>
    <row r="10" customFormat="false" ht="25.5" hidden="false" customHeight="true" outlineLevel="0" collapsed="false">
      <c r="B10" s="3" t="s">
        <v>818</v>
      </c>
      <c r="D10" s="24" t="n">
        <v>0.25</v>
      </c>
      <c r="E10" s="25" t="n">
        <f aca="false">IF(D10&lt;&gt;"",D10,C10)</f>
        <v>0.25</v>
      </c>
      <c r="F10" s="3" t="s">
        <v>370</v>
      </c>
      <c r="G10" s="23" t="s">
        <v>819</v>
      </c>
    </row>
    <row r="11" customFormat="false" ht="25.5" hidden="false" customHeight="true" outlineLevel="0" collapsed="false">
      <c r="B11" s="3" t="s">
        <v>820</v>
      </c>
      <c r="D11" s="26" t="n">
        <v>400</v>
      </c>
      <c r="E11" s="27" t="n">
        <f aca="false">IF(D11&lt;&gt;"",D11,C11)</f>
        <v>400</v>
      </c>
      <c r="F11" s="3" t="s">
        <v>821</v>
      </c>
      <c r="G11" s="23" t="s">
        <v>822</v>
      </c>
    </row>
    <row r="12" customFormat="false" ht="25.5" hidden="false" customHeight="true" outlineLevel="0" collapsed="false">
      <c r="B12" s="3" t="s">
        <v>823</v>
      </c>
      <c r="D12" s="28" t="n">
        <v>0.1</v>
      </c>
      <c r="E12" s="29" t="n">
        <f aca="false">IF(D12&lt;&gt;"",D12,C12)</f>
        <v>0.1</v>
      </c>
      <c r="F12" s="3" t="s">
        <v>249</v>
      </c>
      <c r="G12" s="23" t="s">
        <v>824</v>
      </c>
    </row>
    <row r="13" customFormat="false" ht="25.5" hidden="false" customHeight="true" outlineLevel="0" collapsed="false">
      <c r="B13" s="3" t="s">
        <v>825</v>
      </c>
      <c r="D13" s="21" t="n">
        <v>2</v>
      </c>
      <c r="E13" s="22" t="n">
        <f aca="false">IF(D13&lt;&gt;"",D13,C13)</f>
        <v>2</v>
      </c>
      <c r="F13" s="3" t="s">
        <v>826</v>
      </c>
      <c r="G13" s="23" t="s">
        <v>827</v>
      </c>
    </row>
    <row r="14" customFormat="false" ht="15" hidden="false" customHeight="false" outlineLevel="0" collapsed="false">
      <c r="B14" s="3" t="s">
        <v>828</v>
      </c>
      <c r="C14" s="30" t="n">
        <f aca="false">E6/E7</f>
        <v>73.8636363636364</v>
      </c>
      <c r="E14" s="25" t="n">
        <f aca="false">IF(D14&lt;&gt;"",D14,C14)</f>
        <v>73.8636363636364</v>
      </c>
      <c r="F14" s="3" t="s">
        <v>259</v>
      </c>
      <c r="G14" s="23"/>
    </row>
    <row r="15" customFormat="false" ht="15" hidden="false" customHeight="false" outlineLevel="0" collapsed="false">
      <c r="B15" s="3" t="s">
        <v>829</v>
      </c>
      <c r="C15" s="30" t="n">
        <f aca="false">E14+E6</f>
        <v>138.863636363636</v>
      </c>
      <c r="E15" s="25" t="n">
        <f aca="false">IF(D15&lt;&gt;"",D15,C15)</f>
        <v>138.863636363636</v>
      </c>
      <c r="F15" s="3" t="s">
        <v>830</v>
      </c>
      <c r="G15" s="23" t="s">
        <v>831</v>
      </c>
    </row>
    <row r="16" customFormat="false" ht="22.35" hidden="false" customHeight="false" outlineLevel="0" collapsed="false">
      <c r="B16" s="3" t="s">
        <v>832</v>
      </c>
      <c r="C16" s="31" t="n">
        <f aca="false">(E15*10^4)/(E9*E10*E11*E12*E8*1000)</f>
        <v>0.347159090909091</v>
      </c>
      <c r="E16" s="32" t="n">
        <f aca="false">IF(D16&lt;&gt;"",D16,C16)</f>
        <v>0.347159090909091</v>
      </c>
      <c r="F16" s="3" t="s">
        <v>833</v>
      </c>
      <c r="G16" s="23" t="s">
        <v>834</v>
      </c>
    </row>
    <row r="17" customFormat="false" ht="15" hidden="false" customHeight="false" outlineLevel="0" collapsed="false">
      <c r="B17" s="3" t="s">
        <v>835</v>
      </c>
      <c r="C17" s="31" t="n">
        <f aca="false">E16*E13</f>
        <v>0.694318181818182</v>
      </c>
      <c r="E17" s="32" t="n">
        <f aca="false">IF(D17&lt;&gt;"",D17,C17)</f>
        <v>0.694318181818182</v>
      </c>
      <c r="F17" s="3" t="s">
        <v>833</v>
      </c>
      <c r="G17" s="23"/>
    </row>
    <row r="18" customFormat="false" ht="39.75" hidden="false" customHeight="true" outlineLevel="0" collapsed="false">
      <c r="B18" s="33" t="s">
        <v>836</v>
      </c>
      <c r="C18" s="34" t="n">
        <f aca="false">E17*10^4</f>
        <v>6943.18181818182</v>
      </c>
      <c r="D18" s="35"/>
      <c r="E18" s="36" t="n">
        <f aca="false">IF(D18&lt;&gt;"",D18,C18)</f>
        <v>6943.18181818182</v>
      </c>
      <c r="F18" s="3" t="s">
        <v>837</v>
      </c>
      <c r="G18" s="23" t="s">
        <v>838</v>
      </c>
    </row>
    <row r="20" customFormat="false" ht="15" hidden="false" customHeight="false" outlineLevel="0" collapsed="false">
      <c r="A20" s="19" t="s">
        <v>839</v>
      </c>
      <c r="B20" s="19"/>
      <c r="C20" s="19"/>
      <c r="D20" s="19"/>
      <c r="E20" s="19"/>
      <c r="F20" s="19"/>
      <c r="G20" s="19"/>
    </row>
    <row r="21" customFormat="false" ht="21.75" hidden="false" customHeight="true" outlineLevel="0" collapsed="false">
      <c r="B21" s="33" t="s">
        <v>840</v>
      </c>
      <c r="D21" s="24" t="s">
        <v>462</v>
      </c>
      <c r="E21" s="37" t="str">
        <f aca="false">D21</f>
        <v>ETD 39/20/13</v>
      </c>
      <c r="F21" s="3"/>
      <c r="G21" s="23" t="s">
        <v>841</v>
      </c>
    </row>
    <row r="22" customFormat="false" ht="21.75" hidden="false" customHeight="true" outlineLevel="0" collapsed="false">
      <c r="B22" s="33" t="s">
        <v>842</v>
      </c>
      <c r="D22" s="24" t="s">
        <v>166</v>
      </c>
      <c r="E22" s="37" t="str">
        <f aca="false">D22</f>
        <v>N87</v>
      </c>
      <c r="F22" s="3"/>
      <c r="G22" s="23" t="s">
        <v>843</v>
      </c>
    </row>
    <row r="23" customFormat="false" ht="21.75" hidden="false" customHeight="true" outlineLevel="0" collapsed="false">
      <c r="B23" s="3" t="s">
        <v>430</v>
      </c>
      <c r="C23" s="30" t="str">
        <f aca="false">INDEX(04_Cores_All!$A$5:$A$87,MATCH($E$21,04_Cores_All!$B$5:$B$87,0))</f>
        <v>ETD</v>
      </c>
      <c r="E23" s="37" t="str">
        <f aca="false">IF(D23&lt;&gt;"",D23,C23)</f>
        <v>ETD</v>
      </c>
      <c r="F23" s="3"/>
      <c r="G23" s="23"/>
    </row>
    <row r="24" customFormat="false" ht="21.75" hidden="false" customHeight="true" outlineLevel="0" collapsed="false">
      <c r="B24" s="3" t="s">
        <v>844</v>
      </c>
      <c r="C24" s="38" t="n">
        <f aca="false">INDEX(04_Cores_All!$D$5:$D$87,MATCH($E$21,04_Cores_All!$B$5:$B$87,0))</f>
        <v>125</v>
      </c>
      <c r="D24" s="21"/>
      <c r="E24" s="22" t="n">
        <f aca="false">IF(D24&lt;&gt;"",D24,C24)</f>
        <v>125</v>
      </c>
      <c r="F24" s="3" t="s">
        <v>845</v>
      </c>
      <c r="G24" s="23" t="s">
        <v>846</v>
      </c>
    </row>
    <row r="25" customFormat="false" ht="21.75" hidden="false" customHeight="true" outlineLevel="0" collapsed="false">
      <c r="B25" s="3" t="s">
        <v>847</v>
      </c>
      <c r="C25" s="38" t="n">
        <f aca="false">INDEX(04_Cores_All!$E$5:$E$87,MATCH($E$21,04_Cores_All!$B$5:$B$87,0))</f>
        <v>123</v>
      </c>
      <c r="D25" s="21"/>
      <c r="E25" s="22" t="n">
        <f aca="false">IF(D25&lt;&gt;"",D25,C25)</f>
        <v>123</v>
      </c>
      <c r="F25" s="3" t="s">
        <v>845</v>
      </c>
      <c r="G25" s="23" t="s">
        <v>848</v>
      </c>
    </row>
    <row r="26" customFormat="false" ht="21.75" hidden="false" customHeight="true" outlineLevel="0" collapsed="false">
      <c r="B26" s="3" t="s">
        <v>849</v>
      </c>
      <c r="C26" s="38" t="n">
        <f aca="false">INDEX(04_Cores_All!$I$5:$I$87,MATCH($E$21,04_Cores_All!$B$5:$B$87,0))</f>
        <v>178</v>
      </c>
      <c r="D26" s="21"/>
      <c r="E26" s="22" t="n">
        <f aca="false">IF(D26&lt;&gt;"",D26,C26)</f>
        <v>178</v>
      </c>
      <c r="F26" s="3" t="s">
        <v>845</v>
      </c>
      <c r="G26" s="23" t="s">
        <v>850</v>
      </c>
    </row>
    <row r="27" customFormat="false" ht="21.75" hidden="false" customHeight="true" outlineLevel="0" collapsed="false">
      <c r="B27" s="3" t="s">
        <v>851</v>
      </c>
      <c r="C27" s="38" t="n">
        <f aca="false">INDEX(04_Cores_All!$F$5:$F$87,MATCH($E$21,04_Cores_All!$B$5:$B$87,0))</f>
        <v>92.2</v>
      </c>
      <c r="D27" s="21"/>
      <c r="E27" s="22" t="n">
        <f aca="false">IF(D27&lt;&gt;"",D27,C27)</f>
        <v>92.2</v>
      </c>
      <c r="F27" s="3" t="s">
        <v>852</v>
      </c>
      <c r="G27" s="23"/>
    </row>
    <row r="28" customFormat="false" ht="21.75" hidden="false" customHeight="true" outlineLevel="0" collapsed="false">
      <c r="B28" s="3" t="s">
        <v>853</v>
      </c>
      <c r="C28" s="34" t="n">
        <f aca="false">INDEX(04_Cores_All!$G$5:$G$87,MATCH($E$21,04_Cores_All!$B$5:$B$87,0))</f>
        <v>11500</v>
      </c>
      <c r="D28" s="35"/>
      <c r="E28" s="36" t="n">
        <f aca="false">IF(D28&lt;&gt;"",D28,C28)</f>
        <v>11500</v>
      </c>
      <c r="F28" s="3" t="s">
        <v>854</v>
      </c>
      <c r="G28" s="23" t="s">
        <v>855</v>
      </c>
    </row>
    <row r="29" customFormat="false" ht="21.75" hidden="false" customHeight="true" outlineLevel="0" collapsed="false">
      <c r="B29" s="3" t="s">
        <v>856</v>
      </c>
      <c r="C29" s="38" t="n">
        <f aca="false">INDEX(04_Cores_All!$K$5:$K$87,MATCH($E$21,04_Cores_All!$B$5:$B$87,0))</f>
        <v>69</v>
      </c>
      <c r="D29" s="21"/>
      <c r="E29" s="22" t="n">
        <f aca="false">IF(D29&lt;&gt;"",D29,C29)</f>
        <v>69</v>
      </c>
      <c r="F29" s="3" t="s">
        <v>852</v>
      </c>
      <c r="G29" s="23"/>
    </row>
    <row r="30" customFormat="false" ht="21.75" hidden="false" customHeight="true" outlineLevel="0" collapsed="false">
      <c r="B30" s="3" t="s">
        <v>857</v>
      </c>
      <c r="C30" s="34" t="n">
        <f aca="false">INDEX(04_Cores_All!$M$5:$U$87,MATCH($E$21,04_Cores_All!$B$5:$B$87,0),MATCH($E$22,04_Cores_All!$M$3:$U$3,0))</f>
        <v>2700</v>
      </c>
      <c r="D30" s="35"/>
      <c r="E30" s="36" t="n">
        <f aca="false">IF(D30&lt;&gt;"",D30,C30)</f>
        <v>2700</v>
      </c>
      <c r="F30" s="3" t="s">
        <v>858</v>
      </c>
      <c r="G30" s="23" t="s">
        <v>859</v>
      </c>
    </row>
    <row r="31" customFormat="false" ht="21.75" hidden="false" customHeight="true" outlineLevel="0" collapsed="false">
      <c r="B31" s="3" t="s">
        <v>860</v>
      </c>
      <c r="C31" s="30" t="str">
        <f aca="false">INDEX(04_Cores_All!$W$5:$W$87,MATCH($E$21,04_Cores_All!$B$5:$B$87,0))</f>
        <v>B66364B / B66364W</v>
      </c>
      <c r="E31" s="37" t="str">
        <f aca="false">IF(D31&lt;&gt;"",D31,C31)</f>
        <v>B66364B / B66364W</v>
      </c>
      <c r="F31" s="3"/>
      <c r="G31" s="23"/>
    </row>
    <row r="32" customFormat="false" ht="21.75" hidden="false" customHeight="true" outlineLevel="0" collapsed="false">
      <c r="B32" s="33" t="s">
        <v>861</v>
      </c>
      <c r="C32" s="34" t="n">
        <f aca="false">E24*E26</f>
        <v>22250</v>
      </c>
      <c r="E32" s="36" t="n">
        <f aca="false">IF(D32&lt;&gt;"",D32,C32)</f>
        <v>22250</v>
      </c>
      <c r="F32" s="3" t="s">
        <v>837</v>
      </c>
      <c r="G32" s="23"/>
    </row>
    <row r="33" customFormat="false" ht="21.75" hidden="false" customHeight="true" outlineLevel="0" collapsed="false">
      <c r="B33" s="33" t="s">
        <v>862</v>
      </c>
      <c r="C33" s="30" t="n">
        <f aca="false">IF(AND(ISNUMBER(E18),E18&gt;0),E32/E18,"")</f>
        <v>3.20458265139116</v>
      </c>
      <c r="E33" s="25" t="n">
        <f aca="false">IF(D33&lt;&gt;"",D33,C33)</f>
        <v>3.20458265139116</v>
      </c>
      <c r="F33" s="3" t="s">
        <v>826</v>
      </c>
      <c r="G33" s="23" t="s">
        <v>863</v>
      </c>
    </row>
    <row r="34" customFormat="false" ht="21.75" hidden="false" customHeight="true" outlineLevel="0" collapsed="false">
      <c r="B34" s="33" t="s">
        <v>864</v>
      </c>
      <c r="C34" s="30" t="str">
        <f aca="false">IF(NOT(ISNUMBER(E26)),"Enter Aw in D26 - no bobbin window is published for this core",IF(E26=0,"Enter Aw in D26 - no bobbin window is published for this core",IF(E32&gt;=E18,"OK - core is large enough","TOO SMALL - go up one size")))</f>
        <v>OK - core is large enough</v>
      </c>
      <c r="E34" s="37" t="str">
        <f aca="false">IF(D34&lt;&gt;"",D34,C34)</f>
        <v>OK - core is large enough</v>
      </c>
      <c r="F34" s="3"/>
      <c r="G34" s="23"/>
    </row>
    <row r="36" customFormat="false" ht="15" hidden="false" customHeight="false" outlineLevel="0" collapsed="false">
      <c r="A36" s="19" t="s">
        <v>865</v>
      </c>
      <c r="B36" s="19"/>
      <c r="C36" s="19"/>
      <c r="D36" s="19"/>
      <c r="E36" s="19"/>
      <c r="F36" s="19"/>
      <c r="G36" s="19"/>
    </row>
    <row r="37" customFormat="false" ht="21.75" hidden="false" customHeight="true" outlineLevel="0" collapsed="false">
      <c r="B37" s="3" t="s">
        <v>866</v>
      </c>
      <c r="D37" s="21" t="n">
        <v>260</v>
      </c>
      <c r="E37" s="22" t="n">
        <f aca="false">IF(D37&lt;&gt;"",D37,C37)</f>
        <v>260</v>
      </c>
      <c r="F37" s="3" t="s">
        <v>867</v>
      </c>
      <c r="G37" s="23" t="s">
        <v>868</v>
      </c>
    </row>
    <row r="38" customFormat="false" ht="21.75" hidden="false" customHeight="true" outlineLevel="0" collapsed="false">
      <c r="B38" s="3" t="s">
        <v>869</v>
      </c>
      <c r="D38" s="28" t="n">
        <v>0.42</v>
      </c>
      <c r="E38" s="29" t="n">
        <f aca="false">IF(D38&lt;&gt;"",D38,C38)</f>
        <v>0.42</v>
      </c>
      <c r="F38" s="3" t="s">
        <v>370</v>
      </c>
      <c r="G38" s="23" t="s">
        <v>870</v>
      </c>
    </row>
    <row r="39" customFormat="false" ht="21.75" hidden="false" customHeight="true" outlineLevel="0" collapsed="false">
      <c r="B39" s="3" t="s">
        <v>871</v>
      </c>
      <c r="D39" s="24" t="n">
        <v>20</v>
      </c>
      <c r="E39" s="25" t="n">
        <f aca="false">IF(D39&lt;&gt;"",D39,C39)</f>
        <v>20</v>
      </c>
      <c r="F39" s="3" t="s">
        <v>867</v>
      </c>
      <c r="G39" s="23"/>
    </row>
    <row r="40" customFormat="false" ht="21.75" hidden="false" customHeight="true" outlineLevel="0" collapsed="false">
      <c r="B40" s="3" t="s">
        <v>872</v>
      </c>
      <c r="C40" s="39" t="n">
        <f aca="false">2*E12</f>
        <v>0.2</v>
      </c>
      <c r="E40" s="29" t="n">
        <f aca="false">IF(D40&lt;&gt;"",D40,C40)</f>
        <v>0.2</v>
      </c>
      <c r="F40" s="3" t="s">
        <v>249</v>
      </c>
      <c r="G40" s="23"/>
    </row>
    <row r="41" customFormat="false" ht="21.75" hidden="false" customHeight="true" outlineLevel="0" collapsed="false">
      <c r="B41" s="33" t="s">
        <v>873</v>
      </c>
      <c r="C41" s="38" t="n">
        <f aca="false">E37*E38*10^6/(E8*1000*E40*E24)</f>
        <v>43.68</v>
      </c>
      <c r="E41" s="22" t="n">
        <f aca="false">IF(D41&lt;&gt;"",D41,C41)</f>
        <v>43.68</v>
      </c>
      <c r="F41" s="3" t="s">
        <v>874</v>
      </c>
      <c r="G41" s="23" t="s">
        <v>875</v>
      </c>
    </row>
    <row r="42" customFormat="false" ht="21.75" hidden="false" customHeight="true" outlineLevel="0" collapsed="false">
      <c r="B42" s="3" t="s">
        <v>876</v>
      </c>
      <c r="D42" s="26" t="n">
        <v>45</v>
      </c>
      <c r="E42" s="27" t="n">
        <f aca="false">IF(D42&lt;&gt;"",D42,C42)</f>
        <v>45</v>
      </c>
      <c r="F42" s="3" t="s">
        <v>874</v>
      </c>
      <c r="G42" s="23" t="s">
        <v>877</v>
      </c>
    </row>
    <row r="43" customFormat="false" ht="21.75" hidden="false" customHeight="true" outlineLevel="0" collapsed="false">
      <c r="B43" s="3" t="s">
        <v>878</v>
      </c>
      <c r="C43" s="38" t="n">
        <f aca="false">E42*E39/E37</f>
        <v>3.46153846153846</v>
      </c>
      <c r="E43" s="22" t="n">
        <f aca="false">IF(D43&lt;&gt;"",D43,C43)</f>
        <v>3.46153846153846</v>
      </c>
      <c r="F43" s="3" t="s">
        <v>874</v>
      </c>
      <c r="G43" s="23" t="s">
        <v>879</v>
      </c>
    </row>
    <row r="44" customFormat="false" ht="21.75" hidden="false" customHeight="true" outlineLevel="0" collapsed="false">
      <c r="B44" s="33" t="s">
        <v>880</v>
      </c>
      <c r="C44" s="39" t="n">
        <f aca="false">E37*E38*10^6/(E8*1000*E42*E24)/2</f>
        <v>0.0970666666666667</v>
      </c>
      <c r="E44" s="29" t="n">
        <f aca="false">IF(D44&lt;&gt;"",D44,C44)</f>
        <v>0.0970666666666667</v>
      </c>
      <c r="F44" s="3" t="s">
        <v>249</v>
      </c>
      <c r="G44" s="23"/>
    </row>
    <row r="45" customFormat="false" ht="21.75" hidden="false" customHeight="true" outlineLevel="0" collapsed="false">
      <c r="B45" s="33" t="s">
        <v>881</v>
      </c>
      <c r="C45" s="39" t="n">
        <f aca="false">IF(ISNUMBER(E25),E37*E38*10^6/(E8*1000*E42*E25)/2,"")</f>
        <v>0.0986449864498645</v>
      </c>
      <c r="E45" s="29" t="n">
        <f aca="false">IF(D45&lt;&gt;"",D45,C45)</f>
        <v>0.0986449864498645</v>
      </c>
      <c r="F45" s="3" t="s">
        <v>249</v>
      </c>
      <c r="G45" s="23" t="s">
        <v>882</v>
      </c>
    </row>
    <row r="46" customFormat="false" ht="21.75" hidden="false" customHeight="true" outlineLevel="0" collapsed="false">
      <c r="B46" s="3" t="s">
        <v>883</v>
      </c>
      <c r="C46" s="39" t="n">
        <f aca="false">IF(ISNUMBER(E30),E30*E42^2/10^6,"")</f>
        <v>5.4675</v>
      </c>
      <c r="E46" s="29" t="n">
        <f aca="false">IF(D46&lt;&gt;"",D46,C46)</f>
        <v>5.4675</v>
      </c>
      <c r="F46" s="3" t="s">
        <v>884</v>
      </c>
      <c r="G46" s="23" t="s">
        <v>885</v>
      </c>
    </row>
    <row r="48" customFormat="false" ht="15" hidden="false" customHeight="false" outlineLevel="0" collapsed="false">
      <c r="A48" s="19" t="s">
        <v>886</v>
      </c>
      <c r="B48" s="19"/>
      <c r="C48" s="19"/>
      <c r="D48" s="19"/>
      <c r="E48" s="19"/>
      <c r="F48" s="19"/>
      <c r="G48" s="19"/>
    </row>
    <row r="49" customFormat="false" ht="21.75" hidden="false" customHeight="true" outlineLevel="0" collapsed="false">
      <c r="B49" s="3" t="s">
        <v>887</v>
      </c>
      <c r="D49" s="40" t="n">
        <v>1.07E-005</v>
      </c>
      <c r="E49" s="41" t="n">
        <f aca="false">IF(D49&lt;&gt;"",D49,C49)</f>
        <v>1.07E-005</v>
      </c>
      <c r="F49" s="3" t="s">
        <v>370</v>
      </c>
      <c r="G49" s="23" t="s">
        <v>888</v>
      </c>
    </row>
    <row r="50" customFormat="false" ht="21.75" hidden="false" customHeight="true" outlineLevel="0" collapsed="false">
      <c r="B50" s="3" t="s">
        <v>889</v>
      </c>
      <c r="D50" s="28" t="n">
        <v>1.359</v>
      </c>
      <c r="E50" s="29" t="n">
        <f aca="false">IF(D50&lt;&gt;"",D50,C50)</f>
        <v>1.359</v>
      </c>
      <c r="F50" s="3" t="s">
        <v>370</v>
      </c>
      <c r="G50" s="23" t="s">
        <v>890</v>
      </c>
    </row>
    <row r="51" customFormat="false" ht="21.75" hidden="false" customHeight="true" outlineLevel="0" collapsed="false">
      <c r="B51" s="3" t="s">
        <v>891</v>
      </c>
      <c r="D51" s="28" t="n">
        <v>2.098</v>
      </c>
      <c r="E51" s="29" t="n">
        <f aca="false">IF(D51&lt;&gt;"",D51,C51)</f>
        <v>2.098</v>
      </c>
      <c r="F51" s="3" t="s">
        <v>370</v>
      </c>
      <c r="G51" s="23"/>
    </row>
    <row r="52" customFormat="false" ht="21.75" hidden="false" customHeight="true" outlineLevel="0" collapsed="false">
      <c r="B52" s="3" t="s">
        <v>892</v>
      </c>
      <c r="C52" s="38" t="n">
        <f aca="false">E49*(E8^E50)*((E44*1000)^E51)</f>
        <v>82.4625728747318</v>
      </c>
      <c r="E52" s="22" t="n">
        <f aca="false">IF(D52&lt;&gt;"",D52,C52)</f>
        <v>82.4625728747318</v>
      </c>
      <c r="F52" s="3" t="s">
        <v>893</v>
      </c>
      <c r="G52" s="23" t="s">
        <v>894</v>
      </c>
    </row>
    <row r="53" customFormat="false" ht="21.75" hidden="false" customHeight="true" outlineLevel="0" collapsed="false">
      <c r="B53" s="33" t="s">
        <v>895</v>
      </c>
      <c r="C53" s="39" t="n">
        <f aca="false">E52*E28/10^6</f>
        <v>0.948319588059416</v>
      </c>
      <c r="E53" s="29" t="n">
        <f aca="false">IF(D53&lt;&gt;"",D53,C53)</f>
        <v>0.948319588059416</v>
      </c>
      <c r="F53" s="3" t="s">
        <v>259</v>
      </c>
      <c r="G53" s="23"/>
    </row>
    <row r="55" customFormat="false" ht="15" hidden="false" customHeight="false" outlineLevel="0" collapsed="false">
      <c r="A55" s="19" t="s">
        <v>896</v>
      </c>
      <c r="B55" s="19"/>
      <c r="C55" s="19"/>
      <c r="D55" s="19"/>
      <c r="E55" s="19"/>
      <c r="F55" s="19"/>
      <c r="G55" s="19"/>
    </row>
    <row r="56" customFormat="false" ht="21.75" hidden="false" customHeight="true" outlineLevel="0" collapsed="false">
      <c r="B56" s="3" t="s">
        <v>897</v>
      </c>
      <c r="D56" s="28" t="n">
        <v>0.45</v>
      </c>
      <c r="E56" s="29" t="n">
        <f aca="false">IF(D56&lt;&gt;"",D56,C56)</f>
        <v>0.45</v>
      </c>
      <c r="F56" s="3" t="s">
        <v>898</v>
      </c>
      <c r="G56" s="23"/>
    </row>
    <row r="57" customFormat="false" ht="21.75" hidden="false" customHeight="true" outlineLevel="0" collapsed="false">
      <c r="B57" s="3" t="s">
        <v>899</v>
      </c>
      <c r="C57" s="31" t="n">
        <f aca="false">E56/E11*100</f>
        <v>0.1125</v>
      </c>
      <c r="E57" s="32" t="n">
        <f aca="false">IF(D57&lt;&gt;"",D57,C57)</f>
        <v>0.1125</v>
      </c>
      <c r="F57" s="3" t="s">
        <v>845</v>
      </c>
      <c r="G57" s="23" t="s">
        <v>900</v>
      </c>
    </row>
    <row r="58" customFormat="false" ht="21.75" hidden="false" customHeight="true" outlineLevel="0" collapsed="false">
      <c r="B58" s="3" t="s">
        <v>901</v>
      </c>
      <c r="C58" s="39" t="n">
        <f aca="false">75.3/SQRT(E8*1000)</f>
        <v>0.238119507810679</v>
      </c>
      <c r="E58" s="29" t="n">
        <f aca="false">IF(D58&lt;&gt;"",D58,C58)</f>
        <v>0.238119507810679</v>
      </c>
      <c r="F58" s="3" t="s">
        <v>852</v>
      </c>
      <c r="G58" s="23" t="s">
        <v>902</v>
      </c>
    </row>
    <row r="59" customFormat="false" ht="21.75" hidden="false" customHeight="true" outlineLevel="0" collapsed="false">
      <c r="B59" s="3" t="s">
        <v>903</v>
      </c>
      <c r="C59" s="39" t="n">
        <f aca="false">E58*2</f>
        <v>0.476239015621358</v>
      </c>
      <c r="E59" s="29" t="n">
        <f aca="false">IF(D59&lt;&gt;"",D59,C59)</f>
        <v>0.476239015621358</v>
      </c>
      <c r="F59" s="3" t="s">
        <v>852</v>
      </c>
      <c r="G59" s="23" t="s">
        <v>904</v>
      </c>
    </row>
    <row r="60" customFormat="false" ht="21.75" hidden="false" customHeight="true" outlineLevel="0" collapsed="false">
      <c r="B60" s="3" t="s">
        <v>905</v>
      </c>
      <c r="C60" s="30" t="n">
        <f aca="false">IF(ISNUMBER(E29),E29*E42/1000,"")</f>
        <v>3.105</v>
      </c>
      <c r="E60" s="25" t="n">
        <f aca="false">IF(D60&lt;&gt;"",D60,C60)</f>
        <v>3.105</v>
      </c>
      <c r="F60" s="3" t="s">
        <v>906</v>
      </c>
      <c r="G60" s="23" t="s">
        <v>907</v>
      </c>
    </row>
    <row r="62" customFormat="false" ht="15" hidden="false" customHeight="false" outlineLevel="0" collapsed="false">
      <c r="A62" s="19" t="s">
        <v>908</v>
      </c>
      <c r="B62" s="19"/>
      <c r="C62" s="19"/>
      <c r="D62" s="19"/>
      <c r="E62" s="19"/>
      <c r="F62" s="19"/>
      <c r="G62" s="19"/>
    </row>
    <row r="63" customFormat="false" ht="21.75" hidden="false" customHeight="true" outlineLevel="0" collapsed="false">
      <c r="B63" s="33" t="s">
        <v>909</v>
      </c>
      <c r="C63" s="34" t="n">
        <f aca="false">E18</f>
        <v>6943.18181818182</v>
      </c>
      <c r="E63" s="36" t="n">
        <f aca="false">IF(D63&lt;&gt;"",D63,C63)</f>
        <v>6943.18181818182</v>
      </c>
      <c r="F63" s="3" t="s">
        <v>837</v>
      </c>
      <c r="G63" s="23"/>
    </row>
    <row r="64" customFormat="false" ht="21.75" hidden="false" customHeight="true" outlineLevel="0" collapsed="false">
      <c r="B64" s="33" t="s">
        <v>910</v>
      </c>
      <c r="C64" s="34" t="n">
        <f aca="false">E32</f>
        <v>22250</v>
      </c>
      <c r="E64" s="36" t="n">
        <f aca="false">IF(D64&lt;&gt;"",D64,C64)</f>
        <v>22250</v>
      </c>
      <c r="F64" s="3" t="s">
        <v>837</v>
      </c>
      <c r="G64" s="23"/>
    </row>
    <row r="65" customFormat="false" ht="21.75" hidden="false" customHeight="true" outlineLevel="0" collapsed="false">
      <c r="B65" s="33" t="s">
        <v>911</v>
      </c>
      <c r="C65" s="39" t="n">
        <f aca="false">E45</f>
        <v>0.0986449864498645</v>
      </c>
      <c r="E65" s="29" t="n">
        <f aca="false">IF(D65&lt;&gt;"",D65,C65)</f>
        <v>0.0986449864498645</v>
      </c>
      <c r="F65" s="3" t="s">
        <v>249</v>
      </c>
      <c r="G65" s="23"/>
    </row>
    <row r="66" customFormat="false" ht="21.75" hidden="false" customHeight="true" outlineLevel="0" collapsed="false">
      <c r="B66" s="33" t="s">
        <v>912</v>
      </c>
      <c r="C66" s="39" t="n">
        <f aca="false">E53</f>
        <v>0.948319588059416</v>
      </c>
      <c r="E66" s="29" t="n">
        <f aca="false">IF(D66&lt;&gt;"",D66,C66)</f>
        <v>0.948319588059416</v>
      </c>
      <c r="F66" s="3" t="s">
        <v>259</v>
      </c>
      <c r="G66" s="23"/>
    </row>
    <row r="67" customFormat="false" ht="21.75" hidden="false" customHeight="true" outlineLevel="0" collapsed="false">
      <c r="B67" s="33" t="s">
        <v>913</v>
      </c>
      <c r="C67" s="42" t="n">
        <f aca="false">E53/E6</f>
        <v>0.014589532123991</v>
      </c>
      <c r="E67" s="43" t="n">
        <f aca="false">IF(D67&lt;&gt;"",D67,C67)</f>
        <v>0.014589532123991</v>
      </c>
      <c r="F67" s="3" t="s">
        <v>370</v>
      </c>
      <c r="G67" s="23" t="s">
        <v>914</v>
      </c>
    </row>
    <row r="69" customFormat="false" ht="15" hidden="false" customHeight="false" outlineLevel="0" collapsed="false">
      <c r="B69" s="5" t="s">
        <v>915</v>
      </c>
    </row>
    <row r="70" customFormat="false" ht="24" hidden="false" customHeight="true" outlineLevel="0" collapsed="false">
      <c r="B70" s="44" t="s">
        <v>916</v>
      </c>
      <c r="C70" s="44"/>
      <c r="D70" s="44"/>
      <c r="E70" s="44"/>
      <c r="F70" s="44"/>
      <c r="G70" s="44"/>
    </row>
    <row r="71" customFormat="false" ht="24" hidden="false" customHeight="true" outlineLevel="0" collapsed="false">
      <c r="B71" s="44" t="s">
        <v>917</v>
      </c>
      <c r="C71" s="44"/>
      <c r="D71" s="44"/>
      <c r="E71" s="44"/>
      <c r="F71" s="44"/>
      <c r="G71" s="44"/>
    </row>
    <row r="72" customFormat="false" ht="24" hidden="false" customHeight="true" outlineLevel="0" collapsed="false">
      <c r="B72" s="44" t="s">
        <v>918</v>
      </c>
      <c r="C72" s="44"/>
      <c r="D72" s="44"/>
      <c r="E72" s="44"/>
      <c r="F72" s="44"/>
      <c r="G72" s="44"/>
    </row>
    <row r="73" customFormat="false" ht="24" hidden="false" customHeight="true" outlineLevel="0" collapsed="false">
      <c r="B73" s="44" t="s">
        <v>919</v>
      </c>
      <c r="C73" s="44"/>
      <c r="D73" s="44"/>
      <c r="E73" s="44"/>
      <c r="F73" s="44"/>
      <c r="G73" s="44"/>
    </row>
    <row r="74" customFormat="false" ht="24" hidden="false" customHeight="true" outlineLevel="0" collapsed="false">
      <c r="B74" s="44" t="s">
        <v>920</v>
      </c>
      <c r="C74" s="44"/>
      <c r="D74" s="44"/>
      <c r="E74" s="44"/>
      <c r="F74" s="44"/>
      <c r="G74" s="44"/>
    </row>
    <row r="75" customFormat="false" ht="24" hidden="false" customHeight="true" outlineLevel="0" collapsed="false">
      <c r="B75" s="44" t="s">
        <v>921</v>
      </c>
      <c r="C75" s="44"/>
      <c r="D75" s="44"/>
      <c r="E75" s="44"/>
      <c r="F75" s="44"/>
      <c r="G75" s="44"/>
    </row>
    <row r="76" customFormat="false" ht="24" hidden="false" customHeight="true" outlineLevel="0" collapsed="false">
      <c r="B76" s="44" t="s">
        <v>922</v>
      </c>
      <c r="C76" s="44"/>
      <c r="D76" s="44"/>
      <c r="E76" s="44"/>
      <c r="F76" s="44"/>
      <c r="G76" s="44"/>
    </row>
    <row r="77" customFormat="false" ht="24" hidden="false" customHeight="true" outlineLevel="0" collapsed="false">
      <c r="B77" s="44" t="s">
        <v>923</v>
      </c>
      <c r="C77" s="44"/>
      <c r="D77" s="44"/>
      <c r="E77" s="44"/>
      <c r="F77" s="44"/>
      <c r="G77" s="44"/>
    </row>
  </sheetData>
  <mergeCells count="8">
    <mergeCell ref="B70:G70"/>
    <mergeCell ref="B71:G71"/>
    <mergeCell ref="B72:G72"/>
    <mergeCell ref="B73:G73"/>
    <mergeCell ref="B74:G74"/>
    <mergeCell ref="B75:G75"/>
    <mergeCell ref="B76:G76"/>
    <mergeCell ref="B77:G77"/>
  </mergeCells>
  <dataValidations count="2">
    <dataValidation allowBlank="false" errorStyle="stop" operator="between" prompt="Choose a core from sheet 04_Cores_All" promptTitle="Core" showDropDown="false" showErrorMessage="false" showInputMessage="false" sqref="D21" type="list">
      <formula1>CoreList</formula1>
      <formula2>0</formula2>
    </dataValidation>
    <dataValidation allowBlank="false" errorStyle="stop" operator="between" prompt="Choose the ferrite grade for the AL lookup" promptTitle="Material" showDropDown="false" showErrorMessage="false" showInputMessage="false" sqref="D22" type="list">
      <formula1>MatList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7" topLeftCell="A1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7" min="6" style="0" width="9"/>
    <col collapsed="false" customWidth="true" hidden="false" outlineLevel="0" max="8" min="8" style="0" width="10"/>
    <col collapsed="false" customWidth="true" hidden="false" outlineLevel="0" max="10" min="9" style="0" width="11"/>
    <col collapsed="false" customWidth="true" hidden="false" outlineLevel="0" max="11" min="11" style="0" width="13"/>
    <col collapsed="false" customWidth="true" hidden="false" outlineLevel="0" max="12" min="12" style="0" width="12"/>
    <col collapsed="false" customWidth="true" hidden="false" outlineLevel="0" max="13" min="13" style="0" width="22"/>
    <col collapsed="false" customWidth="true" hidden="false" outlineLevel="0" max="16" min="14" style="0" width="11"/>
    <col collapsed="false" customWidth="true" hidden="false" outlineLevel="0" max="17" min="17" style="0" width="13"/>
    <col collapsed="false" customWidth="true" hidden="false" outlineLevel="0" max="18" min="18" style="0" width="14"/>
    <col collapsed="false" customWidth="true" hidden="false" outlineLevel="0" max="20" min="19" style="0" width="11"/>
  </cols>
  <sheetData>
    <row r="1" customFormat="false" ht="19.7" hidden="false" customHeight="false" outlineLevel="0" collapsed="false">
      <c r="A1" s="1" t="s">
        <v>924</v>
      </c>
    </row>
    <row r="2" customFormat="false" ht="27.75" hidden="false" customHeight="true" outlineLevel="0" collapsed="false">
      <c r="A2" s="18" t="s">
        <v>925</v>
      </c>
    </row>
    <row r="4" customFormat="false" ht="15" hidden="false" customHeight="false" outlineLevel="0" collapsed="false">
      <c r="A4" s="19" t="s">
        <v>926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</row>
    <row r="5" customFormat="false" ht="22.35" hidden="false" customHeight="false" outlineLevel="0" collapsed="false">
      <c r="C5" s="20" t="s">
        <v>927</v>
      </c>
      <c r="D5" s="20" t="s">
        <v>928</v>
      </c>
      <c r="E5" s="20" t="s">
        <v>806</v>
      </c>
      <c r="F5" s="20" t="s">
        <v>807</v>
      </c>
      <c r="G5" s="20" t="s">
        <v>808</v>
      </c>
    </row>
    <row r="6" customFormat="false" ht="21.75" hidden="false" customHeight="true" outlineLevel="0" collapsed="false">
      <c r="A6" s="3" t="s">
        <v>813</v>
      </c>
      <c r="C6" s="45" t="n">
        <f aca="false">09_Design_Calculator!E8</f>
        <v>100</v>
      </c>
      <c r="D6" s="26"/>
      <c r="E6" s="27" t="n">
        <f aca="false">IF(D6&lt;&gt;"",D6,C6)</f>
        <v>100</v>
      </c>
      <c r="F6" s="3" t="s">
        <v>814</v>
      </c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</row>
    <row r="7" customFormat="false" ht="21.75" hidden="false" customHeight="true" outlineLevel="0" collapsed="false">
      <c r="A7" s="3" t="s">
        <v>820</v>
      </c>
      <c r="C7" s="45" t="n">
        <f aca="false">09_Design_Calculator!E11</f>
        <v>400</v>
      </c>
      <c r="D7" s="26"/>
      <c r="E7" s="27" t="n">
        <f aca="false">IF(D7&lt;&gt;"",D7,C7)</f>
        <v>400</v>
      </c>
      <c r="F7" s="3" t="s">
        <v>821</v>
      </c>
      <c r="G7" s="44" t="s">
        <v>929</v>
      </c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</row>
    <row r="8" customFormat="false" ht="21.75" hidden="false" customHeight="true" outlineLevel="0" collapsed="false">
      <c r="A8" s="33" t="s">
        <v>930</v>
      </c>
      <c r="C8" s="38" t="n">
        <f aca="false">09_Design_Calculator!E26</f>
        <v>178</v>
      </c>
      <c r="D8" s="21"/>
      <c r="E8" s="22" t="n">
        <f aca="false">IF(D8&lt;&gt;"",D8,C8)</f>
        <v>178</v>
      </c>
      <c r="F8" s="3" t="s">
        <v>845</v>
      </c>
      <c r="G8" s="44" t="s">
        <v>931</v>
      </c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</row>
    <row r="9" customFormat="false" ht="21.75" hidden="false" customHeight="true" outlineLevel="0" collapsed="false">
      <c r="A9" s="3" t="s">
        <v>856</v>
      </c>
      <c r="C9" s="38" t="n">
        <f aca="false">09_Design_Calculator!E29</f>
        <v>69</v>
      </c>
      <c r="D9" s="21"/>
      <c r="E9" s="22" t="n">
        <f aca="false">IF(D9&lt;&gt;"",D9,C9)</f>
        <v>69</v>
      </c>
      <c r="F9" s="3" t="s">
        <v>852</v>
      </c>
      <c r="G9" s="44" t="s">
        <v>932</v>
      </c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</row>
    <row r="10" customFormat="false" ht="21.75" hidden="false" customHeight="true" outlineLevel="0" collapsed="false">
      <c r="A10" s="3" t="s">
        <v>933</v>
      </c>
      <c r="C10" s="45" t="n">
        <f aca="false">09_Design_Calculator!E42</f>
        <v>45</v>
      </c>
      <c r="D10" s="26"/>
      <c r="E10" s="27" t="n">
        <f aca="false">IF(D10&lt;&gt;"",D10,C10)</f>
        <v>45</v>
      </c>
      <c r="F10" s="3" t="s">
        <v>874</v>
      </c>
      <c r="G10" s="44" t="s">
        <v>934</v>
      </c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</row>
    <row r="11" customFormat="false" ht="21.75" hidden="false" customHeight="true" outlineLevel="0" collapsed="false">
      <c r="A11" s="3" t="s">
        <v>935</v>
      </c>
      <c r="C11" s="30" t="n">
        <f aca="false">09_Design_Calculator!E10</f>
        <v>0.25</v>
      </c>
      <c r="D11" s="24"/>
      <c r="E11" s="25" t="n">
        <f aca="false">IF(D11&lt;&gt;"",D11,C11)</f>
        <v>0.25</v>
      </c>
      <c r="F11" s="3" t="s">
        <v>370</v>
      </c>
      <c r="G11" s="44" t="s">
        <v>936</v>
      </c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</row>
    <row r="12" customFormat="false" ht="21.75" hidden="false" customHeight="true" outlineLevel="0" collapsed="false">
      <c r="A12" s="3" t="s">
        <v>901</v>
      </c>
      <c r="C12" s="31" t="n">
        <f aca="false">75.3/SQRT(E6*1000)</f>
        <v>0.238119507810679</v>
      </c>
      <c r="D12" s="46"/>
      <c r="E12" s="32" t="n">
        <f aca="false">IF(D12&lt;&gt;"",D12,C12)</f>
        <v>0.238119507810679</v>
      </c>
      <c r="F12" s="3" t="s">
        <v>852</v>
      </c>
      <c r="G12" s="44" t="s">
        <v>937</v>
      </c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</row>
    <row r="13" customFormat="false" ht="21.75" hidden="false" customHeight="true" outlineLevel="0" collapsed="false">
      <c r="A13" s="33" t="s">
        <v>938</v>
      </c>
      <c r="C13" s="31" t="n">
        <f aca="false">2*E12</f>
        <v>0.476239015621358</v>
      </c>
      <c r="D13" s="46"/>
      <c r="E13" s="32" t="n">
        <f aca="false">IF(D13&lt;&gt;"",D13,C13)</f>
        <v>0.476239015621358</v>
      </c>
      <c r="F13" s="3" t="s">
        <v>852</v>
      </c>
      <c r="G13" s="44" t="s">
        <v>939</v>
      </c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</row>
    <row r="14" customFormat="false" ht="21.75" hidden="false" customHeight="true" outlineLevel="0" collapsed="false">
      <c r="A14" s="33" t="s">
        <v>940</v>
      </c>
      <c r="C14" s="45" t="n">
        <f aca="false">ROUNDUP(36-39*LN(E13/0.127)/LN(92),0)</f>
        <v>25</v>
      </c>
      <c r="D14" s="26"/>
      <c r="E14" s="27" t="n">
        <f aca="false">IF(D14&lt;&gt;"",D14,C14)</f>
        <v>25</v>
      </c>
      <c r="F14" s="3" t="s">
        <v>780</v>
      </c>
      <c r="G14" s="44" t="s">
        <v>941</v>
      </c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</row>
    <row r="16" customFormat="false" ht="15" hidden="false" customHeight="false" outlineLevel="0" collapsed="false">
      <c r="A16" s="19" t="s">
        <v>942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</row>
    <row r="17" customFormat="false" ht="45.75" hidden="false" customHeight="true" outlineLevel="0" collapsed="false">
      <c r="A17" s="7" t="s">
        <v>943</v>
      </c>
      <c r="B17" s="7" t="s">
        <v>944</v>
      </c>
      <c r="C17" s="7" t="s">
        <v>945</v>
      </c>
      <c r="D17" s="7" t="s">
        <v>946</v>
      </c>
      <c r="E17" s="7" t="s">
        <v>947</v>
      </c>
      <c r="F17" s="7" t="s">
        <v>948</v>
      </c>
      <c r="G17" s="7" t="s">
        <v>949</v>
      </c>
      <c r="H17" s="7" t="s">
        <v>950</v>
      </c>
      <c r="I17" s="7" t="s">
        <v>951</v>
      </c>
      <c r="J17" s="7" t="s">
        <v>952</v>
      </c>
      <c r="K17" s="7" t="s">
        <v>953</v>
      </c>
      <c r="L17" s="7" t="s">
        <v>954</v>
      </c>
      <c r="M17" s="7" t="s">
        <v>955</v>
      </c>
      <c r="N17" s="7" t="s">
        <v>956</v>
      </c>
      <c r="O17" s="7" t="s">
        <v>957</v>
      </c>
      <c r="P17" s="7" t="s">
        <v>958</v>
      </c>
      <c r="Q17" s="7" t="s">
        <v>959</v>
      </c>
      <c r="R17" s="7" t="s">
        <v>960</v>
      </c>
      <c r="S17" s="7" t="s">
        <v>961</v>
      </c>
      <c r="T17" s="7" t="s">
        <v>962</v>
      </c>
    </row>
    <row r="18" customFormat="false" ht="19.5" hidden="false" customHeight="true" outlineLevel="0" collapsed="false">
      <c r="A18" s="47" t="s">
        <v>963</v>
      </c>
      <c r="B18" s="48" t="n">
        <v>45</v>
      </c>
      <c r="C18" s="49" t="n">
        <v>0.45</v>
      </c>
      <c r="D18" s="50" t="n">
        <f aca="false">IF(AND(ISNUMBER($C18),$E$7&gt;0),$C18/$E$7*100,"")</f>
        <v>0.1125</v>
      </c>
      <c r="E18" s="51" t="n">
        <f aca="false">$E$14</f>
        <v>25</v>
      </c>
      <c r="F18" s="48" t="n">
        <v>28</v>
      </c>
      <c r="G18" s="48" t="n">
        <v>2</v>
      </c>
      <c r="H18" s="52" t="n">
        <f aca="false">IF(ISNUMBER($F18),INDEX(08_AWG_Wire!$B$5:$B$31,MATCH($F18,08_AWG_Wire!$A$5:$A$31,0)),"")</f>
        <v>0.32</v>
      </c>
      <c r="I18" s="53" t="n">
        <f aca="false">IF(ISNUMBER($F18),INDEX(08_AWG_Wire!$C$5:$C$31,MATCH($F18,08_AWG_Wire!$A$5:$A$31,0)),"")</f>
        <v>0.080549</v>
      </c>
      <c r="J18" s="50" t="n">
        <f aca="false">IF(AND(ISNUMBER($G18),ISNUMBER($I18)),$G18*$I18,"")</f>
        <v>0.161098</v>
      </c>
      <c r="K18" s="54" t="str">
        <f aca="false">IF(AND(ISNUMBER($J18),ISNUMBER($D18)),IF($J18&gt;=$D18,"OK","ADD STRANDS"),"")</f>
        <v>OK</v>
      </c>
      <c r="L18" s="54" t="str">
        <f aca="false">IF(ISNUMBER($H18),IF($H18&lt;=$E$13,"OK","TOO THICK - split into strands"),"")</f>
        <v>OK</v>
      </c>
      <c r="M18" s="47" t="s">
        <v>964</v>
      </c>
      <c r="N18" s="52" t="n">
        <f aca="false">IF(NOT(ISNUMBER($F18)),"",IF($M18="TIW (Furukawa TEX-E)",INDEX(08_AWG_Wire!$I$5:$I$31,MATCH($F18,08_AWG_Wire!$A$5:$A$31,0)),IF($M18="Grade 2 (heavy build)",INDEX(08_AWG_Wire!$G$5:$G$31,MATCH($F18,08_AWG_Wire!$A$5:$A$31,0)),INDEX(08_AWG_Wire!$F$5:$F$31,MATCH($F18,08_AWG_Wire!$A$5:$A$31,0)))))</f>
        <v>0.373</v>
      </c>
      <c r="O18" s="49"/>
      <c r="P18" s="52" t="n">
        <f aca="false">IF($O18&lt;&gt;"",$O18,IF(AND(ISNUMBER($N18),$N18&gt;0),$N18,""))</f>
        <v>0.373</v>
      </c>
      <c r="Q18" s="52" t="n">
        <f aca="false">IF(AND(ISNUMBER($B18),ISNUMBER($G18),ISNUMBER($I18)),$B18*$G18*$I18,"")</f>
        <v>7.24941</v>
      </c>
      <c r="R18" s="52" t="n">
        <f aca="false">IF(AND(ISNUMBER($B18),ISNUMBER($G18),ISNUMBER($P18)),$B18*$G18*PI()/4*$P18^2,"")</f>
        <v>9.83444949677912</v>
      </c>
      <c r="S18" s="50" t="n">
        <f aca="false">IF(AND(ISNUMBER($F18),ISNUMBER($B18),ISNUMBER($G18)),INDEX(08_AWG_Wire!$E$5:$E$31,MATCH($F18,08_AWG_Wire!$A$5:$A$31,0))*($E$9/1000)*$B18/$G18,"")</f>
        <v>0.433225125</v>
      </c>
      <c r="T18" s="50" t="n">
        <f aca="false">IF(AND(ISNUMBER($S18),ISNUMBER($C18)),$C18^2*$S18,"")</f>
        <v>0.0877280878125</v>
      </c>
    </row>
    <row r="19" customFormat="false" ht="19.5" hidden="false" customHeight="true" outlineLevel="0" collapsed="false">
      <c r="A19" s="47" t="s">
        <v>965</v>
      </c>
      <c r="B19" s="48" t="n">
        <v>4</v>
      </c>
      <c r="C19" s="49" t="n">
        <v>5.4</v>
      </c>
      <c r="D19" s="50" t="n">
        <f aca="false">IF(AND(ISNUMBER($C19),$E$7&gt;0),$C19/$E$7*100,"")</f>
        <v>1.35</v>
      </c>
      <c r="E19" s="51" t="n">
        <f aca="false">$E$14</f>
        <v>25</v>
      </c>
      <c r="F19" s="48" t="n">
        <v>26</v>
      </c>
      <c r="G19" s="48" t="n">
        <v>11</v>
      </c>
      <c r="H19" s="52" t="n">
        <f aca="false">IF(ISNUMBER($F19),INDEX(08_AWG_Wire!$B$5:$B$31,MATCH($F19,08_AWG_Wire!$A$5:$A$31,0)),"")</f>
        <v>0.404</v>
      </c>
      <c r="I19" s="53" t="n">
        <f aca="false">IF(ISNUMBER($F19),INDEX(08_AWG_Wire!$C$5:$C$31,MATCH($F19,08_AWG_Wire!$A$5:$A$31,0)),"")</f>
        <v>0.128169</v>
      </c>
      <c r="J19" s="50" t="n">
        <f aca="false">IF(AND(ISNUMBER($G19),ISNUMBER($I19)),$G19*$I19,"")</f>
        <v>1.409859</v>
      </c>
      <c r="K19" s="54" t="str">
        <f aca="false">IF(AND(ISNUMBER($J19),ISNUMBER($D19)),IF($J19&gt;=$D19,"OK","ADD STRANDS"),"")</f>
        <v>OK</v>
      </c>
      <c r="L19" s="54" t="str">
        <f aca="false">IF(ISNUMBER($H19),IF($H19&lt;=$E$13,"OK","TOO THICK - split into strands"),"")</f>
        <v>OK</v>
      </c>
      <c r="M19" s="47" t="s">
        <v>966</v>
      </c>
      <c r="N19" s="52" t="n">
        <f aca="false">IF(NOT(ISNUMBER($F19)),"",IF($M19="TIW (Furukawa TEX-E)",INDEX(08_AWG_Wire!$I$5:$I$31,MATCH($F19,08_AWG_Wire!$A$5:$A$31,0)),IF($M19="Grade 2 (heavy build)",INDEX(08_AWG_Wire!$G$5:$G$31,MATCH($F19,08_AWG_Wire!$A$5:$A$31,0)),INDEX(08_AWG_Wire!$F$5:$F$31,MATCH($F19,08_AWG_Wire!$A$5:$A$31,0)))))</f>
        <v>0.675</v>
      </c>
      <c r="O19" s="49"/>
      <c r="P19" s="52" t="n">
        <f aca="false">IF($O19&lt;&gt;"",$O19,IF(AND(ISNUMBER($N19),$N19&gt;0),$N19,""))</f>
        <v>0.675</v>
      </c>
      <c r="Q19" s="52" t="n">
        <f aca="false">IF(AND(ISNUMBER($B19),ISNUMBER($G19),ISNUMBER($I19)),$B19*$G19*$I19,"")</f>
        <v>5.639436</v>
      </c>
      <c r="R19" s="52" t="n">
        <f aca="false">IF(AND(ISNUMBER($B19),ISNUMBER($G19),ISNUMBER($P19)),$B19*$G19*PI()/4*$P19^2,"")</f>
        <v>15.7452696807103</v>
      </c>
      <c r="S19" s="50" t="n">
        <f aca="false">IF(AND(ISNUMBER($F19),ISNUMBER($B19),ISNUMBER($G19)),INDEX(08_AWG_Wire!$E$5:$E$31,MATCH($F19,08_AWG_Wire!$A$5:$A$31,0))*($E$9/1000)*$B19/$G19,"")</f>
        <v>0.00442578545454546</v>
      </c>
      <c r="T19" s="50" t="n">
        <f aca="false">IF(AND(ISNUMBER($S19),ISNUMBER($C19)),$C19^2*$S19,"")</f>
        <v>0.129055903854546</v>
      </c>
    </row>
    <row r="20" customFormat="false" ht="19.5" hidden="false" customHeight="true" outlineLevel="0" collapsed="false">
      <c r="A20" s="47" t="s">
        <v>967</v>
      </c>
      <c r="B20" s="48"/>
      <c r="C20" s="49"/>
      <c r="D20" s="50" t="str">
        <f aca="false">IF(AND(ISNUMBER($C20),$E$7&gt;0),$C20/$E$7*100,"")</f>
        <v/>
      </c>
      <c r="E20" s="51" t="n">
        <f aca="false">$E$14</f>
        <v>25</v>
      </c>
      <c r="F20" s="48"/>
      <c r="G20" s="48"/>
      <c r="H20" s="52" t="str">
        <f aca="false">IF(ISNUMBER($F20),INDEX(08_AWG_Wire!$B$5:$B$31,MATCH($F20,08_AWG_Wire!$A$5:$A$31,0)),"")</f>
        <v/>
      </c>
      <c r="I20" s="53" t="str">
        <f aca="false">IF(ISNUMBER($F20),INDEX(08_AWG_Wire!$C$5:$C$31,MATCH($F20,08_AWG_Wire!$A$5:$A$31,0)),"")</f>
        <v/>
      </c>
      <c r="J20" s="50" t="str">
        <f aca="false">IF(AND(ISNUMBER($G20),ISNUMBER($I20)),$G20*$I20,"")</f>
        <v/>
      </c>
      <c r="K20" s="54" t="str">
        <f aca="false">IF(AND(ISNUMBER($J20),ISNUMBER($D20)),IF($J20&gt;=$D20,"OK","ADD STRANDS"),"")</f>
        <v/>
      </c>
      <c r="L20" s="54" t="str">
        <f aca="false">IF(ISNUMBER($H20),IF($H20&lt;=$E$13,"OK","TOO THICK - split into strands"),"")</f>
        <v/>
      </c>
      <c r="M20" s="47" t="s">
        <v>964</v>
      </c>
      <c r="N20" s="52" t="str">
        <f aca="false">IF(NOT(ISNUMBER($F20)),"",IF($M20="TIW (Furukawa TEX-E)",INDEX(08_AWG_Wire!$I$5:$I$31,MATCH($F20,08_AWG_Wire!$A$5:$A$31,0)),IF($M20="Grade 2 (heavy build)",INDEX(08_AWG_Wire!$G$5:$G$31,MATCH($F20,08_AWG_Wire!$A$5:$A$31,0)),INDEX(08_AWG_Wire!$F$5:$F$31,MATCH($F20,08_AWG_Wire!$A$5:$A$31,0)))))</f>
        <v/>
      </c>
      <c r="O20" s="49"/>
      <c r="P20" s="52" t="str">
        <f aca="false">IF($O20&lt;&gt;"",$O20,IF(AND(ISNUMBER($N20),$N20&gt;0),$N20,""))</f>
        <v/>
      </c>
      <c r="Q20" s="52" t="str">
        <f aca="false">IF(AND(ISNUMBER($B20),ISNUMBER($G20),ISNUMBER($I20)),$B20*$G20*$I20,"")</f>
        <v/>
      </c>
      <c r="R20" s="52" t="str">
        <f aca="false">IF(AND(ISNUMBER($B20),ISNUMBER($G20),ISNUMBER($P20)),$B20*$G20*PI()/4*$P20^2,"")</f>
        <v/>
      </c>
      <c r="S20" s="50" t="str">
        <f aca="false">IF(AND(ISNUMBER($F20),ISNUMBER($B20),ISNUMBER($G20)),INDEX(08_AWG_Wire!$E$5:$E$31,MATCH($F20,08_AWG_Wire!$A$5:$A$31,0))*($E$9/1000)*$B20/$G20,"")</f>
        <v/>
      </c>
      <c r="T20" s="50" t="str">
        <f aca="false">IF(AND(ISNUMBER($S20),ISNUMBER($C20)),$C20^2*$S20,"")</f>
        <v/>
      </c>
    </row>
    <row r="21" customFormat="false" ht="19.5" hidden="false" customHeight="true" outlineLevel="0" collapsed="false">
      <c r="A21" s="47" t="s">
        <v>968</v>
      </c>
      <c r="B21" s="48"/>
      <c r="C21" s="49"/>
      <c r="D21" s="50" t="str">
        <f aca="false">IF(AND(ISNUMBER($C21),$E$7&gt;0),$C21/$E$7*100,"")</f>
        <v/>
      </c>
      <c r="E21" s="51" t="n">
        <f aca="false">$E$14</f>
        <v>25</v>
      </c>
      <c r="F21" s="48"/>
      <c r="G21" s="48"/>
      <c r="H21" s="52" t="str">
        <f aca="false">IF(ISNUMBER($F21),INDEX(08_AWG_Wire!$B$5:$B$31,MATCH($F21,08_AWG_Wire!$A$5:$A$31,0)),"")</f>
        <v/>
      </c>
      <c r="I21" s="53" t="str">
        <f aca="false">IF(ISNUMBER($F21),INDEX(08_AWG_Wire!$C$5:$C$31,MATCH($F21,08_AWG_Wire!$A$5:$A$31,0)),"")</f>
        <v/>
      </c>
      <c r="J21" s="50" t="str">
        <f aca="false">IF(AND(ISNUMBER($G21),ISNUMBER($I21)),$G21*$I21,"")</f>
        <v/>
      </c>
      <c r="K21" s="54" t="str">
        <f aca="false">IF(AND(ISNUMBER($J21),ISNUMBER($D21)),IF($J21&gt;=$D21,"OK","ADD STRANDS"),"")</f>
        <v/>
      </c>
      <c r="L21" s="54" t="str">
        <f aca="false">IF(ISNUMBER($H21),IF($H21&lt;=$E$13,"OK","TOO THICK - split into strands"),"")</f>
        <v/>
      </c>
      <c r="M21" s="47" t="s">
        <v>964</v>
      </c>
      <c r="N21" s="52" t="str">
        <f aca="false">IF(NOT(ISNUMBER($F21)),"",IF($M21="TIW (Furukawa TEX-E)",INDEX(08_AWG_Wire!$I$5:$I$31,MATCH($F21,08_AWG_Wire!$A$5:$A$31,0)),IF($M21="Grade 2 (heavy build)",INDEX(08_AWG_Wire!$G$5:$G$31,MATCH($F21,08_AWG_Wire!$A$5:$A$31,0)),INDEX(08_AWG_Wire!$F$5:$F$31,MATCH($F21,08_AWG_Wire!$A$5:$A$31,0)))))</f>
        <v/>
      </c>
      <c r="O21" s="49"/>
      <c r="P21" s="52" t="str">
        <f aca="false">IF($O21&lt;&gt;"",$O21,IF(AND(ISNUMBER($N21),$N21&gt;0),$N21,""))</f>
        <v/>
      </c>
      <c r="Q21" s="52" t="str">
        <f aca="false">IF(AND(ISNUMBER($B21),ISNUMBER($G21),ISNUMBER($I21)),$B21*$G21*$I21,"")</f>
        <v/>
      </c>
      <c r="R21" s="52" t="str">
        <f aca="false">IF(AND(ISNUMBER($B21),ISNUMBER($G21),ISNUMBER($P21)),$B21*$G21*PI()/4*$P21^2,"")</f>
        <v/>
      </c>
      <c r="S21" s="50" t="str">
        <f aca="false">IF(AND(ISNUMBER($F21),ISNUMBER($B21),ISNUMBER($G21)),INDEX(08_AWG_Wire!$E$5:$E$31,MATCH($F21,08_AWG_Wire!$A$5:$A$31,0))*($E$9/1000)*$B21/$G21,"")</f>
        <v/>
      </c>
      <c r="T21" s="50" t="str">
        <f aca="false">IF(AND(ISNUMBER($S21),ISNUMBER($C21)),$C21^2*$S21,"")</f>
        <v/>
      </c>
    </row>
    <row r="22" customFormat="false" ht="19.5" hidden="false" customHeight="true" outlineLevel="0" collapsed="false">
      <c r="A22" s="47" t="s">
        <v>969</v>
      </c>
      <c r="B22" s="48" t="n">
        <v>5</v>
      </c>
      <c r="C22" s="49" t="n">
        <v>0.05</v>
      </c>
      <c r="D22" s="50" t="n">
        <f aca="false">IF(AND(ISNUMBER($C22),$E$7&gt;0),$C22/$E$7*100,"")</f>
        <v>0.0125</v>
      </c>
      <c r="E22" s="51" t="n">
        <f aca="false">$E$14</f>
        <v>25</v>
      </c>
      <c r="F22" s="48" t="n">
        <v>34</v>
      </c>
      <c r="G22" s="48" t="n">
        <v>1</v>
      </c>
      <c r="H22" s="52" t="n">
        <f aca="false">IF(ISNUMBER($F22),INDEX(08_AWG_Wire!$B$5:$B$31,MATCH($F22,08_AWG_Wire!$A$5:$A$31,0)),"")</f>
        <v>0.16</v>
      </c>
      <c r="I22" s="53" t="n">
        <f aca="false">IF(ISNUMBER($F22),INDEX(08_AWG_Wire!$C$5:$C$31,MATCH($F22,08_AWG_Wire!$A$5:$A$31,0)),"")</f>
        <v>0.020107</v>
      </c>
      <c r="J22" s="50" t="n">
        <f aca="false">IF(AND(ISNUMBER($G22),ISNUMBER($I22)),$G22*$I22,"")</f>
        <v>0.020107</v>
      </c>
      <c r="K22" s="54" t="str">
        <f aca="false">IF(AND(ISNUMBER($J22),ISNUMBER($D22)),IF($J22&gt;=$D22,"OK","ADD STRANDS"),"")</f>
        <v>OK</v>
      </c>
      <c r="L22" s="54" t="str">
        <f aca="false">IF(ISNUMBER($H22),IF($H22&lt;=$E$13,"OK","TOO THICK - split into strands"),"")</f>
        <v>OK</v>
      </c>
      <c r="M22" s="47" t="s">
        <v>964</v>
      </c>
      <c r="N22" s="52" t="n">
        <f aca="false">IF(NOT(ISNUMBER($F22)),"",IF($M22="TIW (Furukawa TEX-E)",INDEX(08_AWG_Wire!$I$5:$I$31,MATCH($F22,08_AWG_Wire!$A$5:$A$31,0)),IF($M22="Grade 2 (heavy build)",INDEX(08_AWG_Wire!$G$5:$G$31,MATCH($F22,08_AWG_Wire!$A$5:$A$31,0)),INDEX(08_AWG_Wire!$F$5:$F$31,MATCH($F22,08_AWG_Wire!$A$5:$A$31,0)))))</f>
        <v>0.198</v>
      </c>
      <c r="O22" s="49"/>
      <c r="P22" s="52" t="n">
        <f aca="false">IF($O22&lt;&gt;"",$O22,IF(AND(ISNUMBER($N22),$N22&gt;0),$N22,""))</f>
        <v>0.198</v>
      </c>
      <c r="Q22" s="52" t="n">
        <f aca="false">IF(AND(ISNUMBER($B22),ISNUMBER($G22),ISNUMBER($I22)),$B22*$G22*$I22,"")</f>
        <v>0.100535</v>
      </c>
      <c r="R22" s="52" t="n">
        <f aca="false">IF(AND(ISNUMBER($B22),ISNUMBER($G22),ISNUMBER($P22)),$B22*$G22*PI()/4*$P22^2,"")</f>
        <v>0.153953747989168</v>
      </c>
      <c r="S22" s="50" t="n">
        <f aca="false">IF(AND(ISNUMBER($F22),ISNUMBER($B22),ISNUMBER($G22)),INDEX(08_AWG_Wire!$E$5:$E$31,MATCH($F22,08_AWG_Wire!$A$5:$A$31,0))*($E$9/1000)*$B22/$G22,"")</f>
        <v>0.3853581</v>
      </c>
      <c r="T22" s="50" t="n">
        <f aca="false">IF(AND(ISNUMBER($S22),ISNUMBER($C22)),$C22^2*$S22,"")</f>
        <v>0.00096339525</v>
      </c>
    </row>
    <row r="23" customFormat="false" ht="15" hidden="false" customHeight="false" outlineLevel="0" collapsed="false">
      <c r="A23" s="33" t="s">
        <v>970</v>
      </c>
      <c r="Q23" s="55" t="n">
        <f aca="false">SUM(Q18:Q22)</f>
        <v>12.989381</v>
      </c>
      <c r="R23" s="55" t="n">
        <f aca="false">SUM(R18:R22)</f>
        <v>25.7336729254786</v>
      </c>
      <c r="T23" s="55" t="n">
        <f aca="false">SUM(T18:T22)</f>
        <v>0.217747386917045</v>
      </c>
    </row>
    <row r="25" customFormat="false" ht="15" hidden="false" customHeight="false" outlineLevel="0" collapsed="false">
      <c r="A25" s="19" t="s">
        <v>971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</row>
    <row r="26" customFormat="false" ht="22.35" hidden="false" customHeight="false" outlineLevel="0" collapsed="false">
      <c r="C26" s="20" t="s">
        <v>927</v>
      </c>
      <c r="D26" s="20" t="s">
        <v>928</v>
      </c>
      <c r="E26" s="20" t="s">
        <v>806</v>
      </c>
      <c r="F26" s="20" t="s">
        <v>807</v>
      </c>
      <c r="G26" s="20" t="s">
        <v>808</v>
      </c>
    </row>
    <row r="27" customFormat="false" ht="21.75" hidden="false" customHeight="true" outlineLevel="0" collapsed="false">
      <c r="A27" s="33" t="s">
        <v>930</v>
      </c>
      <c r="C27" s="38" t="n">
        <f aca="false">E8</f>
        <v>178</v>
      </c>
      <c r="D27" s="21"/>
      <c r="E27" s="22" t="n">
        <f aca="false">IF(D27&lt;&gt;"",D27,C27)</f>
        <v>178</v>
      </c>
      <c r="F27" s="3" t="s">
        <v>845</v>
      </c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</row>
    <row r="28" customFormat="false" ht="21.75" hidden="false" customHeight="true" outlineLevel="0" collapsed="false">
      <c r="A28" s="3" t="s">
        <v>972</v>
      </c>
      <c r="D28" s="56" t="n">
        <v>0.12</v>
      </c>
      <c r="E28" s="43" t="n">
        <f aca="false">IF(D28&lt;&gt;"",D28,C28)</f>
        <v>0.12</v>
      </c>
      <c r="F28" s="3" t="s">
        <v>973</v>
      </c>
      <c r="G28" s="44" t="s">
        <v>974</v>
      </c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1.75" hidden="false" customHeight="true" outlineLevel="0" collapsed="false">
      <c r="A29" s="3" t="s">
        <v>975</v>
      </c>
      <c r="D29" s="56" t="n">
        <v>0.08</v>
      </c>
      <c r="E29" s="43" t="n">
        <f aca="false">IF(D29&lt;&gt;"",D29,C29)</f>
        <v>0.08</v>
      </c>
      <c r="F29" s="3" t="s">
        <v>973</v>
      </c>
      <c r="G29" s="44" t="s">
        <v>976</v>
      </c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</row>
    <row r="30" customFormat="false" ht="21.75" hidden="false" customHeight="true" outlineLevel="0" collapsed="false">
      <c r="A30" s="3" t="s">
        <v>977</v>
      </c>
      <c r="C30" s="38" t="n">
        <f aca="false">E27*(1-E28-E29)</f>
        <v>142.4</v>
      </c>
      <c r="D30" s="21"/>
      <c r="E30" s="22" t="n">
        <f aca="false">IF(D30&lt;&gt;"",D30,C30)</f>
        <v>142.4</v>
      </c>
      <c r="F30" s="3" t="s">
        <v>845</v>
      </c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</row>
    <row r="31" customFormat="false" ht="21.75" hidden="false" customHeight="true" outlineLevel="0" collapsed="false">
      <c r="A31" s="3" t="s">
        <v>978</v>
      </c>
      <c r="D31" s="24" t="n">
        <v>0.75</v>
      </c>
      <c r="E31" s="25" t="n">
        <f aca="false">IF(D31&lt;&gt;"",D31,C31)</f>
        <v>0.75</v>
      </c>
      <c r="F31" s="3" t="s">
        <v>370</v>
      </c>
      <c r="G31" s="44" t="s">
        <v>979</v>
      </c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</row>
    <row r="32" customFormat="false" ht="21.75" hidden="false" customHeight="true" outlineLevel="0" collapsed="false">
      <c r="A32" s="33" t="s">
        <v>980</v>
      </c>
      <c r="C32" s="38" t="n">
        <f aca="false">R23</f>
        <v>25.7336729254786</v>
      </c>
      <c r="D32" s="21"/>
      <c r="E32" s="22" t="n">
        <f aca="false">IF(D32&lt;&gt;"",D32,C32)</f>
        <v>25.7336729254786</v>
      </c>
      <c r="F32" s="3" t="s">
        <v>845</v>
      </c>
      <c r="G32" s="44" t="s">
        <v>981</v>
      </c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</row>
    <row r="33" customFormat="false" ht="21.75" hidden="false" customHeight="true" outlineLevel="0" collapsed="false">
      <c r="A33" s="33" t="s">
        <v>982</v>
      </c>
      <c r="C33" s="38" t="n">
        <f aca="false">IF(E31&gt;0,E32/E31,"")</f>
        <v>34.3115639006382</v>
      </c>
      <c r="D33" s="21"/>
      <c r="E33" s="22" t="n">
        <f aca="false">IF(D33&lt;&gt;"",D33,C33)</f>
        <v>34.3115639006382</v>
      </c>
      <c r="F33" s="3" t="s">
        <v>845</v>
      </c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</row>
    <row r="34" customFormat="false" ht="21.75" hidden="false" customHeight="true" outlineLevel="0" collapsed="false">
      <c r="A34" s="33" t="s">
        <v>983</v>
      </c>
      <c r="C34" s="42" t="n">
        <f aca="false">IF(E30&gt;0,E33/E30,"")</f>
        <v>0.240951993684257</v>
      </c>
      <c r="D34" s="56"/>
      <c r="E34" s="43" t="n">
        <f aca="false">IF(D34&lt;&gt;"",D34,C34)</f>
        <v>0.240951993684257</v>
      </c>
      <c r="F34" s="3" t="s">
        <v>370</v>
      </c>
      <c r="G34" s="44" t="s">
        <v>984</v>
      </c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</row>
    <row r="35" customFormat="false" ht="21.75" hidden="false" customHeight="true" outlineLevel="0" collapsed="false">
      <c r="A35" s="33" t="s">
        <v>985</v>
      </c>
      <c r="C35" s="30" t="str">
        <f aca="false">IF(NOT(ISNUMBER(E34)),"Fill in the winding table above",IF(E34&lt;=0.85,"FITS COMFORTABLY",IF(E34&lt;=1,"FITS - but it is tight, expect a hard build","DOES NOT FIT - go up a core size, use finer strands, or drop a turn")))</f>
        <v>FITS COMFORTABLY</v>
      </c>
      <c r="D35" s="24"/>
      <c r="E35" s="37" t="str">
        <f aca="false">IF(D35&lt;&gt;"",D35,C35)</f>
        <v>FITS COMFORTABLY</v>
      </c>
      <c r="F35" s="3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</row>
    <row r="36" customFormat="false" ht="21.75" hidden="false" customHeight="true" outlineLevel="0" collapsed="false">
      <c r="A36" s="33" t="s">
        <v>986</v>
      </c>
      <c r="C36" s="39" t="n">
        <f aca="false">IF(E27&gt;0,Q23/E27,"")</f>
        <v>0.0729740505617978</v>
      </c>
      <c r="D36" s="28"/>
      <c r="E36" s="29" t="n">
        <f aca="false">IF(D36&lt;&gt;"",D36,C36)</f>
        <v>0.0729740505617978</v>
      </c>
      <c r="F36" s="3" t="s">
        <v>370</v>
      </c>
      <c r="G36" s="44" t="s">
        <v>987</v>
      </c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</row>
    <row r="37" customFormat="false" ht="21.75" hidden="false" customHeight="true" outlineLevel="0" collapsed="false">
      <c r="A37" s="3" t="s">
        <v>988</v>
      </c>
      <c r="C37" s="30" t="n">
        <f aca="false">E11</f>
        <v>0.25</v>
      </c>
      <c r="D37" s="24"/>
      <c r="E37" s="25" t="n">
        <f aca="false">IF(D37&lt;&gt;"",D37,C37)</f>
        <v>0.25</v>
      </c>
      <c r="F37" s="3" t="s">
        <v>370</v>
      </c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</row>
    <row r="38" customFormat="false" ht="21.75" hidden="false" customHeight="true" outlineLevel="0" collapsed="false">
      <c r="A38" s="3" t="s">
        <v>989</v>
      </c>
      <c r="C38" s="30" t="str">
        <f aca="false">IF(OR(NOT(ISNUMBER(E36)),NOT(ISNUMBER(E37))),"",IF(E36&gt;E37*1.05,"Achieved Ku is HIGHER than assumed - the sizing was optimistic, re-check the fill ratio above",IF(E36&lt;E37*0.6,"Achieved Ku is well below the assumption - the core is oversized for this winding, you can probably drop a size","Achieved Ku is in line with the sizing assumption")))</f>
        <v>Achieved Ku is well below the assumption - the core is oversized for this winding, you can probably drop a size</v>
      </c>
      <c r="D38" s="24"/>
      <c r="E38" s="37" t="str">
        <f aca="false">IF(D38&lt;&gt;"",D38,C38)</f>
        <v>Achieved Ku is well below the assumption - the core is oversized for this winding, you can probably drop a size</v>
      </c>
      <c r="F38" s="3"/>
      <c r="G38" s="44" t="s">
        <v>990</v>
      </c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</row>
    <row r="40" customFormat="false" ht="15" hidden="false" customHeight="false" outlineLevel="0" collapsed="false">
      <c r="A40" s="19" t="s">
        <v>991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</row>
    <row r="41" customFormat="false" ht="22.35" hidden="false" customHeight="false" outlineLevel="0" collapsed="false">
      <c r="C41" s="20" t="s">
        <v>927</v>
      </c>
      <c r="D41" s="20" t="s">
        <v>928</v>
      </c>
      <c r="E41" s="20" t="s">
        <v>806</v>
      </c>
      <c r="F41" s="20" t="s">
        <v>807</v>
      </c>
      <c r="G41" s="20" t="s">
        <v>808</v>
      </c>
    </row>
    <row r="42" customFormat="false" ht="21.75" hidden="false" customHeight="true" outlineLevel="0" collapsed="false">
      <c r="A42" s="33" t="s">
        <v>992</v>
      </c>
      <c r="C42" s="39" t="n">
        <f aca="false">09_Design_Calculator!E53</f>
        <v>0.948319588059416</v>
      </c>
      <c r="D42" s="28"/>
      <c r="E42" s="29" t="n">
        <f aca="false">IF(D42&lt;&gt;"",D42,C42)</f>
        <v>0.948319588059416</v>
      </c>
      <c r="F42" s="3" t="s">
        <v>259</v>
      </c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</row>
    <row r="43" customFormat="false" ht="21.75" hidden="false" customHeight="true" outlineLevel="0" collapsed="false">
      <c r="A43" s="33" t="s">
        <v>993</v>
      </c>
      <c r="C43" s="39" t="n">
        <f aca="false">T23</f>
        <v>0.217747386917045</v>
      </c>
      <c r="D43" s="28"/>
      <c r="E43" s="29" t="n">
        <f aca="false">IF(D43&lt;&gt;"",D43,C43)</f>
        <v>0.217747386917045</v>
      </c>
      <c r="F43" s="3" t="s">
        <v>259</v>
      </c>
      <c r="G43" s="44" t="s">
        <v>994</v>
      </c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</row>
    <row r="44" customFormat="false" ht="21.75" hidden="false" customHeight="true" outlineLevel="0" collapsed="false">
      <c r="A44" s="33" t="s">
        <v>995</v>
      </c>
      <c r="C44" s="39" t="n">
        <f aca="false">E42+E43</f>
        <v>1.16606697497646</v>
      </c>
      <c r="D44" s="28"/>
      <c r="E44" s="29" t="n">
        <f aca="false">IF(D44&lt;&gt;"",D44,C44)</f>
        <v>1.16606697497646</v>
      </c>
      <c r="F44" s="3" t="s">
        <v>259</v>
      </c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</row>
    <row r="45" customFormat="false" ht="21.75" hidden="false" customHeight="true" outlineLevel="0" collapsed="false">
      <c r="A45" s="33" t="s">
        <v>996</v>
      </c>
      <c r="C45" s="42" t="n">
        <f aca="false">IF(09_Design_Calculator!E6&gt;0,E44/09_Design_Calculator!E6,"")</f>
        <v>0.0179394919227148</v>
      </c>
      <c r="D45" s="56"/>
      <c r="E45" s="43" t="n">
        <f aca="false">IF(D45&lt;&gt;"",D45,C45)</f>
        <v>0.0179394919227148</v>
      </c>
      <c r="F45" s="3" t="s">
        <v>370</v>
      </c>
      <c r="G45" s="44" t="s">
        <v>997</v>
      </c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</row>
    <row r="47" customFormat="false" ht="15" hidden="false" customHeight="false" outlineLevel="0" collapsed="false">
      <c r="A47" s="5" t="s">
        <v>998</v>
      </c>
    </row>
    <row r="48" customFormat="false" ht="24" hidden="false" customHeight="true" outlineLevel="0" collapsed="false">
      <c r="A48" s="44" t="s">
        <v>999</v>
      </c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</row>
    <row r="49" customFormat="false" ht="24" hidden="false" customHeight="true" outlineLevel="0" collapsed="false">
      <c r="A49" s="44" t="s">
        <v>1000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</row>
    <row r="50" customFormat="false" ht="24" hidden="false" customHeight="true" outlineLevel="0" collapsed="false">
      <c r="A50" s="44" t="s">
        <v>1001</v>
      </c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</row>
    <row r="51" customFormat="false" ht="24" hidden="false" customHeight="true" outlineLevel="0" collapsed="false">
      <c r="A51" s="44" t="s">
        <v>1002</v>
      </c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</row>
    <row r="52" customFormat="false" ht="24" hidden="false" customHeight="true" outlineLevel="0" collapsed="false">
      <c r="A52" s="44" t="s">
        <v>1003</v>
      </c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</row>
    <row r="53" customFormat="false" ht="24" hidden="false" customHeight="true" outlineLevel="0" collapsed="false">
      <c r="A53" s="44" t="s">
        <v>1004</v>
      </c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</row>
  </sheetData>
  <mergeCells count="31">
    <mergeCell ref="G6:T6"/>
    <mergeCell ref="G7:T7"/>
    <mergeCell ref="G8:T8"/>
    <mergeCell ref="G9:T9"/>
    <mergeCell ref="G10:T10"/>
    <mergeCell ref="G11:T11"/>
    <mergeCell ref="G12:T12"/>
    <mergeCell ref="G13:T13"/>
    <mergeCell ref="G14:T14"/>
    <mergeCell ref="G27:T27"/>
    <mergeCell ref="G28:T28"/>
    <mergeCell ref="G29:T29"/>
    <mergeCell ref="G30:T30"/>
    <mergeCell ref="G31:T31"/>
    <mergeCell ref="G32:T32"/>
    <mergeCell ref="G33:T33"/>
    <mergeCell ref="G34:T34"/>
    <mergeCell ref="G35:T35"/>
    <mergeCell ref="G36:T36"/>
    <mergeCell ref="G37:T37"/>
    <mergeCell ref="G38:T38"/>
    <mergeCell ref="G42:T42"/>
    <mergeCell ref="G43:T43"/>
    <mergeCell ref="G44:T44"/>
    <mergeCell ref="G45:T45"/>
    <mergeCell ref="A48:T48"/>
    <mergeCell ref="A49:T49"/>
    <mergeCell ref="A50:T50"/>
    <mergeCell ref="A51:T51"/>
    <mergeCell ref="A52:T52"/>
    <mergeCell ref="A53:T53"/>
  </mergeCells>
  <dataValidations count="2">
    <dataValidation allowBlank="true" errorStyle="stop" operator="between" prompt="Pick a gauge from sheet 08_AWG_Wire" promptTitle="AWG" showDropDown="false" showErrorMessage="false" showInputMessage="false" sqref="F18:F22" type="list">
      <formula1>AWGList</formula1>
      <formula2>0</formula2>
    </dataValidation>
    <dataValidation allowBlank="true" errorStyle="stop" operator="between" prompt="Enamel build, or triple-insulated wire" promptTitle="Insulation" showDropDown="false" showErrorMessage="false" showInputMessage="false" sqref="M18:M22" type="list">
      <formula1>"Grade 1 (single build),Grade 2 (heavy build),TIW (Furukawa TEX-E)"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62"/>
    <col collapsed="false" customWidth="true" hidden="false" outlineLevel="0" max="4" min="4" style="0" width="66"/>
    <col collapsed="false" customWidth="true" hidden="false" outlineLevel="0" max="5" min="5" style="0" width="40"/>
    <col collapsed="false" customWidth="true" hidden="false" outlineLevel="0" max="6" min="6" style="0" width="12"/>
  </cols>
  <sheetData>
    <row r="1" customFormat="false" ht="19.5" hidden="false" customHeight="true" outlineLevel="0" collapsed="false">
      <c r="A1" s="6" t="s">
        <v>1005</v>
      </c>
    </row>
    <row r="2" customFormat="false" ht="15" hidden="false" customHeight="false" outlineLevel="0" collapsed="false">
      <c r="A2" s="2" t="s">
        <v>1006</v>
      </c>
    </row>
    <row r="4" customFormat="false" ht="33.75" hidden="false" customHeight="true" outlineLevel="0" collapsed="false">
      <c r="A4" s="7" t="s">
        <v>1007</v>
      </c>
      <c r="B4" s="7" t="s">
        <v>1008</v>
      </c>
      <c r="C4" s="7" t="s">
        <v>1009</v>
      </c>
      <c r="D4" s="7" t="s">
        <v>1010</v>
      </c>
      <c r="E4" s="7" t="s">
        <v>1011</v>
      </c>
      <c r="F4" s="7" t="s">
        <v>1012</v>
      </c>
    </row>
    <row r="5" customFormat="false" ht="25.5" hidden="false" customHeight="true" outlineLevel="0" collapsed="false">
      <c r="A5" s="8" t="n">
        <v>1</v>
      </c>
      <c r="B5" s="8" t="s">
        <v>1013</v>
      </c>
      <c r="C5" s="10" t="s">
        <v>1014</v>
      </c>
      <c r="D5" s="10" t="s">
        <v>1015</v>
      </c>
      <c r="E5" s="10" t="s">
        <v>1016</v>
      </c>
      <c r="F5" s="9" t="s">
        <v>96</v>
      </c>
    </row>
    <row r="6" customFormat="false" ht="25.5" hidden="false" customHeight="true" outlineLevel="0" collapsed="false">
      <c r="A6" s="8" t="n">
        <v>2</v>
      </c>
      <c r="B6" s="8" t="s">
        <v>1013</v>
      </c>
      <c r="C6" s="10" t="s">
        <v>1017</v>
      </c>
      <c r="D6" s="10" t="s">
        <v>1018</v>
      </c>
      <c r="E6" s="10" t="s">
        <v>1016</v>
      </c>
      <c r="F6" s="9" t="s">
        <v>96</v>
      </c>
    </row>
    <row r="7" customFormat="false" ht="25.5" hidden="false" customHeight="true" outlineLevel="0" collapsed="false">
      <c r="A7" s="8" t="n">
        <v>3</v>
      </c>
      <c r="B7" s="8" t="s">
        <v>159</v>
      </c>
      <c r="C7" s="10" t="s">
        <v>1019</v>
      </c>
      <c r="D7" s="10" t="s">
        <v>1020</v>
      </c>
      <c r="E7" s="10" t="s">
        <v>1021</v>
      </c>
      <c r="F7" s="9" t="s">
        <v>96</v>
      </c>
    </row>
    <row r="8" customFormat="false" ht="25.5" hidden="false" customHeight="true" outlineLevel="0" collapsed="false">
      <c r="A8" s="8" t="n">
        <v>4</v>
      </c>
      <c r="B8" s="8" t="s">
        <v>159</v>
      </c>
      <c r="C8" s="10" t="s">
        <v>1022</v>
      </c>
      <c r="D8" s="10" t="s">
        <v>1023</v>
      </c>
      <c r="E8" s="10" t="s">
        <v>1021</v>
      </c>
      <c r="F8" s="9" t="s">
        <v>96</v>
      </c>
    </row>
    <row r="9" customFormat="false" ht="25.5" hidden="false" customHeight="true" outlineLevel="0" collapsed="false">
      <c r="A9" s="8" t="n">
        <v>5</v>
      </c>
      <c r="B9" s="8" t="s">
        <v>159</v>
      </c>
      <c r="C9" s="10" t="s">
        <v>1024</v>
      </c>
      <c r="D9" s="10" t="s">
        <v>1025</v>
      </c>
      <c r="E9" s="10" t="s">
        <v>1021</v>
      </c>
      <c r="F9" s="9" t="s">
        <v>96</v>
      </c>
    </row>
    <row r="10" customFormat="false" ht="25.5" hidden="false" customHeight="true" outlineLevel="0" collapsed="false">
      <c r="A10" s="8" t="n">
        <v>6</v>
      </c>
      <c r="B10" s="8" t="s">
        <v>159</v>
      </c>
      <c r="C10" s="10" t="s">
        <v>1026</v>
      </c>
      <c r="D10" s="10" t="s">
        <v>1027</v>
      </c>
      <c r="E10" s="10" t="s">
        <v>1021</v>
      </c>
      <c r="F10" s="9" t="s">
        <v>96</v>
      </c>
    </row>
    <row r="11" customFormat="false" ht="25.5" hidden="false" customHeight="true" outlineLevel="0" collapsed="false">
      <c r="A11" s="8" t="n">
        <v>7</v>
      </c>
      <c r="B11" s="8" t="s">
        <v>159</v>
      </c>
      <c r="C11" s="10" t="s">
        <v>1028</v>
      </c>
      <c r="D11" s="10" t="s">
        <v>1029</v>
      </c>
      <c r="E11" s="10" t="s">
        <v>1021</v>
      </c>
      <c r="F11" s="9" t="s">
        <v>96</v>
      </c>
    </row>
    <row r="12" customFormat="false" ht="25.5" hidden="false" customHeight="true" outlineLevel="0" collapsed="false">
      <c r="A12" s="8" t="n">
        <v>8</v>
      </c>
      <c r="B12" s="8" t="s">
        <v>159</v>
      </c>
      <c r="C12" s="10" t="s">
        <v>1030</v>
      </c>
      <c r="D12" s="10" t="s">
        <v>1031</v>
      </c>
      <c r="E12" s="10" t="s">
        <v>1021</v>
      </c>
      <c r="F12" s="9" t="s">
        <v>96</v>
      </c>
    </row>
    <row r="13" customFormat="false" ht="25.5" hidden="false" customHeight="true" outlineLevel="0" collapsed="false">
      <c r="A13" s="8" t="n">
        <v>9</v>
      </c>
      <c r="B13" s="8" t="s">
        <v>159</v>
      </c>
      <c r="C13" s="10" t="s">
        <v>1032</v>
      </c>
      <c r="D13" s="10" t="s">
        <v>1033</v>
      </c>
      <c r="E13" s="10" t="s">
        <v>1021</v>
      </c>
      <c r="F13" s="9" t="s">
        <v>96</v>
      </c>
    </row>
    <row r="14" customFormat="false" ht="25.5" hidden="false" customHeight="true" outlineLevel="0" collapsed="false">
      <c r="A14" s="8" t="n">
        <v>10</v>
      </c>
      <c r="B14" s="8" t="s">
        <v>159</v>
      </c>
      <c r="C14" s="10" t="s">
        <v>1034</v>
      </c>
      <c r="D14" s="10" t="s">
        <v>1035</v>
      </c>
      <c r="E14" s="10" t="s">
        <v>1021</v>
      </c>
      <c r="F14" s="9" t="s">
        <v>96</v>
      </c>
    </row>
    <row r="15" customFormat="false" ht="25.5" hidden="false" customHeight="true" outlineLevel="0" collapsed="false">
      <c r="A15" s="8" t="n">
        <v>11</v>
      </c>
      <c r="B15" s="8" t="s">
        <v>159</v>
      </c>
      <c r="C15" s="10" t="s">
        <v>1036</v>
      </c>
      <c r="D15" s="10" t="s">
        <v>1037</v>
      </c>
      <c r="E15" s="10" t="s">
        <v>1021</v>
      </c>
      <c r="F15" s="9" t="s">
        <v>96</v>
      </c>
    </row>
    <row r="16" customFormat="false" ht="25.5" hidden="false" customHeight="true" outlineLevel="0" collapsed="false">
      <c r="A16" s="8" t="n">
        <v>12</v>
      </c>
      <c r="B16" s="8" t="s">
        <v>159</v>
      </c>
      <c r="C16" s="10" t="s">
        <v>1038</v>
      </c>
      <c r="D16" s="10" t="s">
        <v>1039</v>
      </c>
      <c r="E16" s="10" t="s">
        <v>1021</v>
      </c>
      <c r="F16" s="9" t="s">
        <v>96</v>
      </c>
    </row>
    <row r="17" customFormat="false" ht="25.5" hidden="false" customHeight="true" outlineLevel="0" collapsed="false">
      <c r="A17" s="8" t="n">
        <v>13</v>
      </c>
      <c r="B17" s="8" t="s">
        <v>159</v>
      </c>
      <c r="C17" s="10" t="s">
        <v>1040</v>
      </c>
      <c r="D17" s="10" t="s">
        <v>1041</v>
      </c>
      <c r="E17" s="10" t="s">
        <v>1021</v>
      </c>
      <c r="F17" s="9" t="s">
        <v>96</v>
      </c>
    </row>
    <row r="18" customFormat="false" ht="25.5" hidden="false" customHeight="true" outlineLevel="0" collapsed="false">
      <c r="A18" s="8" t="n">
        <v>14</v>
      </c>
      <c r="B18" s="8" t="s">
        <v>159</v>
      </c>
      <c r="C18" s="10" t="s">
        <v>1042</v>
      </c>
      <c r="D18" s="10" t="s">
        <v>1043</v>
      </c>
      <c r="E18" s="10" t="s">
        <v>1021</v>
      </c>
      <c r="F18" s="9" t="s">
        <v>96</v>
      </c>
    </row>
    <row r="19" customFormat="false" ht="25.5" hidden="false" customHeight="true" outlineLevel="0" collapsed="false">
      <c r="A19" s="8" t="n">
        <v>15</v>
      </c>
      <c r="B19" s="8" t="s">
        <v>159</v>
      </c>
      <c r="C19" s="10" t="s">
        <v>1044</v>
      </c>
      <c r="D19" s="10" t="s">
        <v>1045</v>
      </c>
      <c r="E19" s="10" t="s">
        <v>1021</v>
      </c>
      <c r="F19" s="9" t="s">
        <v>96</v>
      </c>
    </row>
    <row r="20" customFormat="false" ht="25.5" hidden="false" customHeight="true" outlineLevel="0" collapsed="false">
      <c r="A20" s="8" t="n">
        <v>16</v>
      </c>
      <c r="B20" s="8" t="s">
        <v>159</v>
      </c>
      <c r="C20" s="10" t="s">
        <v>1046</v>
      </c>
      <c r="D20" s="10" t="s">
        <v>1047</v>
      </c>
      <c r="E20" s="10" t="s">
        <v>1021</v>
      </c>
      <c r="F20" s="9" t="s">
        <v>96</v>
      </c>
    </row>
    <row r="21" customFormat="false" ht="25.5" hidden="false" customHeight="true" outlineLevel="0" collapsed="false">
      <c r="A21" s="8" t="n">
        <v>17</v>
      </c>
      <c r="B21" s="8" t="s">
        <v>159</v>
      </c>
      <c r="C21" s="10" t="s">
        <v>1048</v>
      </c>
      <c r="D21" s="10" t="s">
        <v>1049</v>
      </c>
      <c r="E21" s="10" t="s">
        <v>1021</v>
      </c>
      <c r="F21" s="9" t="s">
        <v>96</v>
      </c>
    </row>
    <row r="22" customFormat="false" ht="25.5" hidden="false" customHeight="true" outlineLevel="0" collapsed="false">
      <c r="A22" s="8" t="n">
        <v>18</v>
      </c>
      <c r="B22" s="8" t="s">
        <v>159</v>
      </c>
      <c r="C22" s="10" t="s">
        <v>1050</v>
      </c>
      <c r="D22" s="10" t="s">
        <v>1051</v>
      </c>
      <c r="E22" s="10" t="s">
        <v>1021</v>
      </c>
      <c r="F22" s="9" t="s">
        <v>96</v>
      </c>
    </row>
    <row r="23" customFormat="false" ht="25.5" hidden="false" customHeight="true" outlineLevel="0" collapsed="false">
      <c r="A23" s="8" t="n">
        <v>19</v>
      </c>
      <c r="B23" s="8" t="s">
        <v>159</v>
      </c>
      <c r="C23" s="10" t="s">
        <v>1052</v>
      </c>
      <c r="D23" s="10" t="s">
        <v>1053</v>
      </c>
      <c r="E23" s="10" t="s">
        <v>1021</v>
      </c>
      <c r="F23" s="9" t="s">
        <v>96</v>
      </c>
    </row>
    <row r="24" customFormat="false" ht="25.5" hidden="false" customHeight="true" outlineLevel="0" collapsed="false">
      <c r="A24" s="8" t="n">
        <v>20</v>
      </c>
      <c r="B24" s="8" t="s">
        <v>186</v>
      </c>
      <c r="C24" s="10" t="s">
        <v>1054</v>
      </c>
      <c r="D24" s="10" t="s">
        <v>1055</v>
      </c>
      <c r="E24" s="10" t="s">
        <v>1056</v>
      </c>
      <c r="F24" s="9" t="s">
        <v>96</v>
      </c>
    </row>
    <row r="25" customFormat="false" ht="25.5" hidden="false" customHeight="true" outlineLevel="0" collapsed="false">
      <c r="A25" s="8" t="n">
        <v>21</v>
      </c>
      <c r="B25" s="8" t="s">
        <v>186</v>
      </c>
      <c r="C25" s="10" t="s">
        <v>1057</v>
      </c>
      <c r="D25" s="10" t="s">
        <v>1058</v>
      </c>
      <c r="E25" s="10" t="s">
        <v>1056</v>
      </c>
      <c r="F25" s="9" t="s">
        <v>96</v>
      </c>
    </row>
    <row r="26" customFormat="false" ht="25.5" hidden="false" customHeight="true" outlineLevel="0" collapsed="false">
      <c r="A26" s="8" t="n">
        <v>22</v>
      </c>
      <c r="B26" s="8" t="s">
        <v>186</v>
      </c>
      <c r="C26" s="10" t="s">
        <v>1059</v>
      </c>
      <c r="D26" s="10" t="s">
        <v>1060</v>
      </c>
      <c r="E26" s="10" t="s">
        <v>1056</v>
      </c>
      <c r="F26" s="9" t="s">
        <v>96</v>
      </c>
    </row>
    <row r="27" customFormat="false" ht="25.5" hidden="false" customHeight="true" outlineLevel="0" collapsed="false">
      <c r="A27" s="8" t="n">
        <v>23</v>
      </c>
      <c r="B27" s="8" t="s">
        <v>186</v>
      </c>
      <c r="C27" s="10" t="s">
        <v>1061</v>
      </c>
      <c r="D27" s="10" t="s">
        <v>1062</v>
      </c>
      <c r="E27" s="10" t="s">
        <v>1063</v>
      </c>
      <c r="F27" s="9" t="s">
        <v>96</v>
      </c>
    </row>
    <row r="28" customFormat="false" ht="25.5" hidden="false" customHeight="true" outlineLevel="0" collapsed="false">
      <c r="A28" s="8" t="n">
        <v>24</v>
      </c>
      <c r="B28" s="8" t="s">
        <v>186</v>
      </c>
      <c r="C28" s="10" t="s">
        <v>1064</v>
      </c>
      <c r="D28" s="10" t="s">
        <v>1065</v>
      </c>
      <c r="E28" s="10" t="s">
        <v>1063</v>
      </c>
      <c r="F28" s="9" t="s">
        <v>96</v>
      </c>
    </row>
    <row r="29" customFormat="false" ht="25.5" hidden="false" customHeight="true" outlineLevel="0" collapsed="false">
      <c r="A29" s="8" t="n">
        <v>25</v>
      </c>
      <c r="B29" s="8" t="s">
        <v>186</v>
      </c>
      <c r="C29" s="10" t="s">
        <v>1066</v>
      </c>
      <c r="D29" s="10" t="s">
        <v>1067</v>
      </c>
      <c r="E29" s="10" t="s">
        <v>1063</v>
      </c>
      <c r="F29" s="9" t="s">
        <v>96</v>
      </c>
    </row>
    <row r="30" customFormat="false" ht="25.5" hidden="false" customHeight="true" outlineLevel="0" collapsed="false">
      <c r="A30" s="8" t="n">
        <v>26</v>
      </c>
      <c r="B30" s="8" t="s">
        <v>186</v>
      </c>
      <c r="C30" s="10" t="s">
        <v>1068</v>
      </c>
      <c r="D30" s="10" t="s">
        <v>1069</v>
      </c>
      <c r="E30" s="10" t="s">
        <v>1063</v>
      </c>
      <c r="F30" s="9" t="s">
        <v>96</v>
      </c>
    </row>
    <row r="31" customFormat="false" ht="25.5" hidden="false" customHeight="true" outlineLevel="0" collapsed="false">
      <c r="A31" s="8" t="n">
        <v>27</v>
      </c>
      <c r="B31" s="8" t="s">
        <v>186</v>
      </c>
      <c r="C31" s="10" t="s">
        <v>1070</v>
      </c>
      <c r="D31" s="10" t="s">
        <v>1071</v>
      </c>
      <c r="E31" s="10" t="s">
        <v>1063</v>
      </c>
      <c r="F31" s="9" t="s">
        <v>96</v>
      </c>
    </row>
    <row r="32" customFormat="false" ht="25.5" hidden="false" customHeight="true" outlineLevel="0" collapsed="false">
      <c r="A32" s="8" t="n">
        <v>28</v>
      </c>
      <c r="B32" s="8" t="s">
        <v>186</v>
      </c>
      <c r="C32" s="10" t="s">
        <v>1072</v>
      </c>
      <c r="D32" s="10" t="s">
        <v>1073</v>
      </c>
      <c r="E32" s="10" t="s">
        <v>1063</v>
      </c>
      <c r="F32" s="9" t="s">
        <v>96</v>
      </c>
    </row>
    <row r="33" customFormat="false" ht="25.5" hidden="false" customHeight="true" outlineLevel="0" collapsed="false">
      <c r="A33" s="8" t="n">
        <v>29</v>
      </c>
      <c r="B33" s="8" t="s">
        <v>1074</v>
      </c>
      <c r="C33" s="10" t="s">
        <v>1075</v>
      </c>
      <c r="D33" s="10" t="s">
        <v>1076</v>
      </c>
      <c r="E33" s="10" t="s">
        <v>1077</v>
      </c>
      <c r="F33" s="9" t="s">
        <v>96</v>
      </c>
    </row>
    <row r="34" customFormat="false" ht="25.5" hidden="false" customHeight="true" outlineLevel="0" collapsed="false">
      <c r="A34" s="8" t="n">
        <v>30</v>
      </c>
      <c r="B34" s="8" t="s">
        <v>1078</v>
      </c>
      <c r="C34" s="10" t="s">
        <v>1079</v>
      </c>
      <c r="D34" s="10" t="s">
        <v>1080</v>
      </c>
      <c r="E34" s="10" t="s">
        <v>1081</v>
      </c>
      <c r="F34" s="9" t="s">
        <v>96</v>
      </c>
    </row>
    <row r="35" customFormat="false" ht="25.5" hidden="false" customHeight="true" outlineLevel="0" collapsed="false">
      <c r="A35" s="8" t="n">
        <v>31</v>
      </c>
      <c r="B35" s="8" t="s">
        <v>1078</v>
      </c>
      <c r="C35" s="10" t="s">
        <v>1082</v>
      </c>
      <c r="D35" s="10" t="s">
        <v>1083</v>
      </c>
      <c r="E35" s="10" t="s">
        <v>1081</v>
      </c>
      <c r="F35" s="9" t="s">
        <v>96</v>
      </c>
    </row>
    <row r="36" customFormat="false" ht="25.5" hidden="false" customHeight="true" outlineLevel="0" collapsed="false">
      <c r="A36" s="8" t="n">
        <v>32</v>
      </c>
      <c r="B36" s="8" t="s">
        <v>1084</v>
      </c>
      <c r="C36" s="10" t="s">
        <v>1085</v>
      </c>
      <c r="D36" s="10" t="s">
        <v>1086</v>
      </c>
      <c r="E36" s="10" t="s">
        <v>1087</v>
      </c>
      <c r="F36" s="9" t="s">
        <v>96</v>
      </c>
    </row>
    <row r="37" customFormat="false" ht="25.5" hidden="false" customHeight="true" outlineLevel="0" collapsed="false">
      <c r="A37" s="8" t="n">
        <v>33</v>
      </c>
      <c r="B37" s="8" t="s">
        <v>1084</v>
      </c>
      <c r="C37" s="10" t="s">
        <v>1088</v>
      </c>
      <c r="D37" s="10" t="s">
        <v>1089</v>
      </c>
      <c r="E37" s="10" t="s">
        <v>1087</v>
      </c>
      <c r="F37" s="9" t="s">
        <v>96</v>
      </c>
    </row>
    <row r="38" customFormat="false" ht="25.5" hidden="false" customHeight="true" outlineLevel="0" collapsed="false">
      <c r="A38" s="8" t="n">
        <v>34</v>
      </c>
      <c r="B38" s="8" t="s">
        <v>1084</v>
      </c>
      <c r="C38" s="10" t="s">
        <v>1090</v>
      </c>
      <c r="D38" s="10" t="s">
        <v>1091</v>
      </c>
      <c r="E38" s="10" t="s">
        <v>1087</v>
      </c>
      <c r="F38" s="9" t="s">
        <v>96</v>
      </c>
    </row>
    <row r="39" customFormat="false" ht="25.5" hidden="false" customHeight="true" outlineLevel="0" collapsed="false">
      <c r="A39" s="8" t="n">
        <v>35</v>
      </c>
      <c r="B39" s="8" t="s">
        <v>1084</v>
      </c>
      <c r="C39" s="10" t="s">
        <v>1092</v>
      </c>
      <c r="D39" s="10" t="s">
        <v>1093</v>
      </c>
      <c r="E39" s="10" t="s">
        <v>1087</v>
      </c>
      <c r="F39" s="9" t="s">
        <v>96</v>
      </c>
    </row>
    <row r="40" customFormat="false" ht="25.5" hidden="false" customHeight="true" outlineLevel="0" collapsed="false">
      <c r="A40" s="8" t="n">
        <v>36</v>
      </c>
      <c r="B40" s="8" t="s">
        <v>1084</v>
      </c>
      <c r="C40" s="10" t="s">
        <v>1094</v>
      </c>
      <c r="D40" s="10" t="s">
        <v>1095</v>
      </c>
      <c r="E40" s="10" t="s">
        <v>1087</v>
      </c>
      <c r="F40" s="9" t="s">
        <v>96</v>
      </c>
    </row>
    <row r="41" customFormat="false" ht="25.5" hidden="false" customHeight="true" outlineLevel="0" collapsed="false">
      <c r="A41" s="8" t="n">
        <v>37</v>
      </c>
      <c r="B41" s="8" t="s">
        <v>1084</v>
      </c>
      <c r="C41" s="10" t="s">
        <v>1096</v>
      </c>
      <c r="D41" s="10" t="s">
        <v>1097</v>
      </c>
      <c r="E41" s="10" t="s">
        <v>1087</v>
      </c>
      <c r="F41" s="9" t="s">
        <v>96</v>
      </c>
    </row>
    <row r="42" customFormat="false" ht="25.5" hidden="false" customHeight="true" outlineLevel="0" collapsed="false">
      <c r="A42" s="8" t="n">
        <v>38</v>
      </c>
      <c r="B42" s="8" t="s">
        <v>1084</v>
      </c>
      <c r="C42" s="10" t="s">
        <v>1098</v>
      </c>
      <c r="D42" s="10" t="s">
        <v>1099</v>
      </c>
      <c r="E42" s="10" t="s">
        <v>1087</v>
      </c>
      <c r="F42" s="9" t="s">
        <v>96</v>
      </c>
    </row>
    <row r="43" customFormat="false" ht="25.5" hidden="false" customHeight="true" outlineLevel="0" collapsed="false">
      <c r="A43" s="8" t="n">
        <v>39</v>
      </c>
      <c r="B43" s="8" t="s">
        <v>1100</v>
      </c>
      <c r="C43" s="10" t="s">
        <v>1101</v>
      </c>
      <c r="D43" s="10" t="s">
        <v>1102</v>
      </c>
      <c r="E43" s="10" t="s">
        <v>1103</v>
      </c>
      <c r="F43" s="9" t="s">
        <v>96</v>
      </c>
    </row>
    <row r="44" customFormat="false" ht="25.5" hidden="false" customHeight="true" outlineLevel="0" collapsed="false">
      <c r="A44" s="8" t="n">
        <v>40</v>
      </c>
      <c r="B44" s="8" t="s">
        <v>1104</v>
      </c>
      <c r="C44" s="10" t="s">
        <v>1105</v>
      </c>
      <c r="D44" s="10" t="s">
        <v>1106</v>
      </c>
      <c r="E44" s="10" t="s">
        <v>1107</v>
      </c>
      <c r="F44" s="9" t="s">
        <v>96</v>
      </c>
    </row>
    <row r="45" customFormat="false" ht="25.5" hidden="false" customHeight="true" outlineLevel="0" collapsed="false">
      <c r="A45" s="8" t="n">
        <v>41</v>
      </c>
      <c r="B45" s="8" t="s">
        <v>1108</v>
      </c>
      <c r="C45" s="10" t="s">
        <v>1109</v>
      </c>
      <c r="D45" s="10" t="s">
        <v>1110</v>
      </c>
      <c r="E45" s="10" t="s">
        <v>1111</v>
      </c>
      <c r="F45" s="9" t="s">
        <v>96</v>
      </c>
    </row>
    <row r="46" customFormat="false" ht="25.5" hidden="false" customHeight="true" outlineLevel="0" collapsed="false">
      <c r="A46" s="8" t="n">
        <v>42</v>
      </c>
      <c r="B46" s="8" t="s">
        <v>1112</v>
      </c>
      <c r="C46" s="10" t="s">
        <v>1113</v>
      </c>
      <c r="D46" s="10" t="s">
        <v>1114</v>
      </c>
      <c r="E46" s="10" t="s">
        <v>1115</v>
      </c>
      <c r="F46" s="9" t="s">
        <v>96</v>
      </c>
    </row>
    <row r="47" customFormat="false" ht="25.5" hidden="false" customHeight="true" outlineLevel="0" collapsed="false">
      <c r="A47" s="8" t="n">
        <v>43</v>
      </c>
      <c r="B47" s="8" t="s">
        <v>1116</v>
      </c>
      <c r="C47" s="10" t="s">
        <v>1117</v>
      </c>
      <c r="D47" s="10" t="s">
        <v>1118</v>
      </c>
      <c r="E47" s="10" t="s">
        <v>1119</v>
      </c>
      <c r="F47" s="9" t="s">
        <v>96</v>
      </c>
    </row>
    <row r="49" customFormat="false" ht="15" hidden="false" customHeight="false" outlineLevel="0" collapsed="false">
      <c r="A49" s="2" t="s">
        <v>1120</v>
      </c>
    </row>
    <row r="50" customFormat="false" ht="15" hidden="false" customHeight="false" outlineLevel="0" collapsed="false">
      <c r="A50" s="2" t="s">
        <v>1121</v>
      </c>
    </row>
    <row r="51" customFormat="false" ht="15" hidden="false" customHeight="false" outlineLevel="0" collapsed="false">
      <c r="A51" s="2" t="s">
        <v>1122</v>
      </c>
    </row>
  </sheetData>
  <autoFilter ref="A4:F47"/>
  <hyperlinks>
    <hyperlink ref="F5" r:id="rId1" display="datasheet"/>
    <hyperlink ref="F6" r:id="rId2" display="datasheet"/>
    <hyperlink ref="F7" r:id="rId3" display="datasheet"/>
    <hyperlink ref="F8" r:id="rId4" display="datasheet"/>
    <hyperlink ref="F9" r:id="rId5" display="datasheet"/>
    <hyperlink ref="F10" r:id="rId6" display="datasheet"/>
    <hyperlink ref="F11" r:id="rId7" display="datasheet"/>
    <hyperlink ref="F12" r:id="rId8" display="datasheet"/>
    <hyperlink ref="F13" r:id="rId9" display="datasheet"/>
    <hyperlink ref="F14" r:id="rId10" display="datasheet"/>
    <hyperlink ref="F15" r:id="rId11" display="datasheet"/>
    <hyperlink ref="F16" r:id="rId12" display="datasheet"/>
    <hyperlink ref="F17" r:id="rId13" display="datasheet"/>
    <hyperlink ref="F18" r:id="rId14" display="datasheet"/>
    <hyperlink ref="F19" r:id="rId15" display="datasheet"/>
    <hyperlink ref="F20" r:id="rId16" display="datasheet"/>
    <hyperlink ref="F21" r:id="rId17" display="datasheet"/>
    <hyperlink ref="F22" r:id="rId18" display="datasheet"/>
    <hyperlink ref="F23" r:id="rId19" display="datasheet"/>
    <hyperlink ref="F24" r:id="rId20" display="datasheet"/>
    <hyperlink ref="F25" r:id="rId21" display="datasheet"/>
    <hyperlink ref="F26" r:id="rId22" display="datasheet"/>
    <hyperlink ref="F27" r:id="rId23" display="datasheet"/>
    <hyperlink ref="F28" r:id="rId24" display="datasheet"/>
    <hyperlink ref="F29" r:id="rId25" display="datasheet"/>
    <hyperlink ref="F30" r:id="rId26" display="datasheet"/>
    <hyperlink ref="F31" r:id="rId27" display="datasheet"/>
    <hyperlink ref="F32" r:id="rId28" display="datasheet"/>
    <hyperlink ref="F33" r:id="rId29" display="datasheet"/>
    <hyperlink ref="F34" r:id="rId30" display="datasheet"/>
    <hyperlink ref="F35" r:id="rId31" display="datasheet"/>
    <hyperlink ref="F36" r:id="rId32" display="datasheet"/>
    <hyperlink ref="F37" r:id="rId33" display="datasheet"/>
    <hyperlink ref="F38" r:id="rId34" display="datasheet"/>
    <hyperlink ref="F39" r:id="rId35" display="datasheet"/>
    <hyperlink ref="F40" r:id="rId36" display="datasheet"/>
    <hyperlink ref="F41" r:id="rId37" display="datasheet"/>
    <hyperlink ref="F42" r:id="rId38" display="datasheet"/>
    <hyperlink ref="F43" r:id="rId39" display="datasheet"/>
    <hyperlink ref="F44" r:id="rId40" display="datasheet"/>
    <hyperlink ref="F45" r:id="rId41" display="datasheet"/>
    <hyperlink ref="F46" r:id="rId42" display="datasheet"/>
    <hyperlink ref="F47" r:id="rId43" display="datashee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4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2026-08-18T12:24:40Z</dcterms:created>
  <dc:creator>openpyxl</dc:creator>
  <dc:description/>
  <dc:language>en-US</dc:language>
  <cp:lastModifiedBy/>
  <dcterms:modified xsi:type="dcterms:W3CDTF">2026-08-18T12:24:40Z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